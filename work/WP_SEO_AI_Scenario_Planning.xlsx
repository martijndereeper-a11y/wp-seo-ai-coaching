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L" sheetId="1" state="visible" r:id="rId1"/>
    <sheet xmlns:r="http://schemas.openxmlformats.org/officeDocument/2006/relationships" name="DE" sheetId="2" state="visible" r:id="rId2"/>
    <sheet xmlns:r="http://schemas.openxmlformats.org/officeDocument/2006/relationships" name="M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b val="1"/>
      <color rgb="002F5496"/>
      <sz val="16"/>
    </font>
    <font>
      <b val="1"/>
      <color rgb="002F5496"/>
      <sz val="13"/>
    </font>
    <font>
      <sz val="9"/>
    </font>
    <font>
      <b val="1"/>
      <color rgb="00FF0000"/>
    </font>
    <font>
      <b val="1"/>
      <color rgb="00FFFFFF"/>
      <sz val="11"/>
    </font>
    <font>
      <b val="1"/>
      <sz val="10"/>
    </font>
    <font>
      <b val="1"/>
      <color rgb="002F5496"/>
      <sz val="14"/>
    </font>
    <font>
      <name val="Calibri"/>
      <b val="1"/>
      <color rgb="000B1F3B"/>
      <sz val="14"/>
    </font>
    <font>
      <name val="Calibri"/>
      <b val="1"/>
      <color rgb="00B748FF"/>
      <sz val="12"/>
    </font>
    <font>
      <name val="Calibri"/>
      <color rgb="0016151A"/>
      <sz val="10"/>
    </font>
    <font>
      <name val="Calibri"/>
      <i val="1"/>
      <color rgb="00615567"/>
      <sz val="10"/>
    </font>
    <font>
      <name val="Calibri"/>
      <b val="1"/>
      <color rgb="000B1F3B"/>
      <sz val="11"/>
    </font>
    <font>
      <name val="Calibri"/>
      <b val="1"/>
      <color rgb="00FFFFFF"/>
      <sz val="10"/>
    </font>
    <font>
      <name val="Calibri"/>
      <b val="1"/>
      <color rgb="00615567"/>
      <sz val="10"/>
    </font>
    <font>
      <name val="Calibri"/>
      <b val="1"/>
      <color rgb="0016151A"/>
      <sz val="10"/>
    </font>
    <font>
      <name val="Calibri"/>
      <color rgb="00615567"/>
      <sz val="9"/>
    </font>
    <font>
      <name val="Calibri"/>
      <b val="1"/>
      <color rgb="00E5484D"/>
      <sz val="10"/>
    </font>
    <font>
      <name val="Calibri"/>
      <b val="1"/>
      <color rgb="002CB67D"/>
      <sz val="10"/>
    </font>
    <font>
      <name val="Calibri"/>
      <color rgb="002CB67D"/>
      <sz val="9"/>
    </font>
    <font>
      <name val="Calibri"/>
      <b val="1"/>
      <color rgb="00B748FF"/>
      <sz val="10"/>
    </font>
    <font>
      <name val="Calibri"/>
      <b val="1"/>
      <color rgb="00F5A623"/>
      <sz val="10"/>
    </font>
    <font>
      <name val="Calibri"/>
      <b val="1"/>
      <color rgb="00B748FF"/>
      <sz val="9"/>
    </font>
    <font>
      <name val="Calibri"/>
      <b val="1"/>
      <color rgb="00B748FF"/>
      <sz val="11"/>
    </font>
  </fonts>
  <fills count="13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0B1F3B"/>
        <bgColor rgb="000B1F3B"/>
      </patternFill>
    </fill>
    <fill>
      <patternFill patternType="solid">
        <fgColor rgb="00FFF8E0"/>
        <bgColor rgb="00FFF8E0"/>
      </patternFill>
    </fill>
    <fill>
      <patternFill patternType="solid">
        <fgColor rgb="00E6F7EF"/>
        <bgColor rgb="00E6F7EF"/>
      </patternFill>
    </fill>
    <fill>
      <patternFill patternType="solid">
        <fgColor rgb="00F0EBFF"/>
        <bgColor rgb="00F0EBFF"/>
      </patternFill>
    </fill>
    <fill>
      <patternFill patternType="solid">
        <fgColor rgb="00FFF3E0"/>
        <bgColor rgb="00FFF3E0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E0DFE6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0" fontId="6" fillId="0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4" fontId="0" fillId="4" borderId="1" pivotButton="0" quotePrefix="0" xfId="0"/>
    <xf numFmtId="4" fontId="0" fillId="0" borderId="1" pivotButton="0" quotePrefix="0" xfId="0"/>
    <xf numFmtId="3" fontId="0" fillId="4" borderId="1" pivotButton="0" quotePrefix="0" xfId="0"/>
    <xf numFmtId="0" fontId="7" fillId="6" borderId="0" pivotButton="0" quotePrefix="0" xfId="0"/>
    <xf numFmtId="0" fontId="0" fillId="6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1" fillId="0" borderId="0" applyAlignment="1" pivotButton="0" quotePrefix="0" xfId="0">
      <alignment wrapText="1"/>
    </xf>
    <xf numFmtId="0" fontId="13" fillId="7" borderId="0" applyAlignment="1" pivotButton="0" quotePrefix="0" xfId="0">
      <alignment horizontal="center"/>
    </xf>
    <xf numFmtId="0" fontId="14" fillId="0" borderId="0" pivotButton="0" quotePrefix="0" xfId="0"/>
    <xf numFmtId="0" fontId="16" fillId="0" borderId="0" pivotButton="0" quotePrefix="0" xfId="0"/>
    <xf numFmtId="0" fontId="10" fillId="8" borderId="2" applyAlignment="1" pivotButton="0" quotePrefix="0" xfId="0">
      <alignment horizontal="center"/>
    </xf>
    <xf numFmtId="0" fontId="15" fillId="9" borderId="0" applyAlignment="1" pivotButton="0" quotePrefix="0" xfId="0">
      <alignment horizontal="center"/>
    </xf>
    <xf numFmtId="0" fontId="15" fillId="9" borderId="2" applyAlignment="1" pivotButton="0" quotePrefix="0" xfId="0">
      <alignment horizontal="center"/>
    </xf>
    <xf numFmtId="0" fontId="10" fillId="9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0" fillId="0" borderId="2" applyAlignment="1" pivotButton="0" quotePrefix="0" xfId="0">
      <alignment horizontal="center"/>
    </xf>
    <xf numFmtId="0" fontId="17" fillId="9" borderId="2" applyAlignment="1" pivotButton="0" quotePrefix="0" xfId="0">
      <alignment horizontal="center"/>
    </xf>
    <xf numFmtId="0" fontId="17" fillId="9" borderId="0" applyAlignment="1" pivotButton="0" quotePrefix="0" xfId="0">
      <alignment horizontal="center"/>
    </xf>
    <xf numFmtId="0" fontId="19" fillId="0" borderId="0" pivotButton="0" quotePrefix="0" xfId="0"/>
    <xf numFmtId="0" fontId="18" fillId="0" borderId="2" applyAlignment="1" pivotButton="0" quotePrefix="0" xfId="0">
      <alignment horizontal="center"/>
    </xf>
    <xf numFmtId="0" fontId="20" fillId="10" borderId="2" applyAlignment="1" pivotButton="0" quotePrefix="0" xfId="0">
      <alignment horizontal="center"/>
    </xf>
    <xf numFmtId="0" fontId="20" fillId="10" borderId="0" applyAlignment="1" pivotButton="0" quotePrefix="0" xfId="0">
      <alignment horizontal="center"/>
    </xf>
    <xf numFmtId="0" fontId="15" fillId="0" borderId="0" pivotButton="0" quotePrefix="0" xfId="0"/>
    <xf numFmtId="0" fontId="18" fillId="9" borderId="2" applyAlignment="1" pivotButton="0" quotePrefix="0" xfId="0">
      <alignment horizontal="center"/>
    </xf>
    <xf numFmtId="0" fontId="17" fillId="0" borderId="2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21" fillId="11" borderId="2" applyAlignment="1" pivotButton="0" quotePrefix="0" xfId="0">
      <alignment horizontal="center"/>
    </xf>
    <xf numFmtId="0" fontId="15" fillId="11" borderId="0" applyAlignment="1" pivotButton="0" quotePrefix="0" xfId="0">
      <alignment horizontal="center"/>
    </xf>
    <xf numFmtId="0" fontId="20" fillId="9" borderId="2" applyAlignment="1" pivotButton="0" quotePrefix="0" xfId="0">
      <alignment horizontal="center"/>
    </xf>
    <xf numFmtId="0" fontId="22" fillId="0" borderId="0" pivotButton="0" quotePrefix="0" xfId="0"/>
    <xf numFmtId="0" fontId="23" fillId="0" borderId="0" pivotButton="0" quotePrefix="0" xfId="0"/>
    <xf numFmtId="0" fontId="10" fillId="8" borderId="0" applyAlignment="1" pivotButton="0" quotePrefix="0" xfId="0">
      <alignment horizontal="center"/>
    </xf>
    <xf numFmtId="9" fontId="10" fillId="8" borderId="0" applyAlignment="1" pivotButton="0" quotePrefix="0" xfId="0">
      <alignment horizontal="center"/>
    </xf>
    <xf numFmtId="0" fontId="16" fillId="12" borderId="2" applyAlignment="1" pivotButton="0" quotePrefix="0" xfId="0">
      <alignment horizontal="center"/>
    </xf>
    <xf numFmtId="0" fontId="16" fillId="9" borderId="2" applyAlignment="1" pivotButton="0" quotePrefix="0" xfId="0">
      <alignment horizontal="center"/>
    </xf>
    <xf numFmtId="0" fontId="10" fillId="12" borderId="2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8" fillId="12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NL — Scenario Planning</t>
        </is>
      </c>
    </row>
    <row r="3">
      <c r="A3" s="2" t="inlineStr">
        <is>
          <t>LEGENDA — Hoe deze sheet te lezen</t>
        </is>
      </c>
    </row>
    <row r="4">
      <c r="A4" s="3" t="inlineStr">
        <is>
          <t>Gele cellen = invoer (aanpasbaar).</t>
        </is>
      </c>
    </row>
    <row r="5">
      <c r="A5" s="3" t="inlineStr">
        <is>
          <t>Groene cellen = formules (cumulatief, totalen) — niet handmatig wijzigen.</t>
        </is>
      </c>
    </row>
    <row r="6">
      <c r="A6" s="3" t="inlineStr">
        <is>
          <t>ARR Budget = basis target (Koen). ARR Stretch = ambitieus target (tussen haakjes).</t>
        </is>
      </c>
    </row>
    <row r="7">
      <c r="A7" s="3" t="inlineStr">
        <is>
          <t>Ramp NL: 15K (maand 1) → 30K (maand 2) → 50K (maand 3+) per AE.</t>
        </is>
      </c>
    </row>
    <row r="8">
      <c r="A8" s="3" t="inlineStr">
        <is>
          <t>Bedragen in miljoenen EUR.</t>
        </is>
      </c>
    </row>
    <row r="10">
      <c r="A10" s="2" t="inlineStr">
        <is>
          <t>HIRING PLAN</t>
        </is>
      </c>
    </row>
    <row r="11">
      <c r="A11" s="5" t="inlineStr">
        <is>
          <t>NL sales hiring stopt na september</t>
        </is>
      </c>
    </row>
    <row r="12">
      <c r="A12" s="6" t="inlineStr">
        <is>
          <t>Rol</t>
        </is>
      </c>
      <c r="B12" s="6" t="inlineStr">
        <is>
          <t>Type</t>
        </is>
      </c>
      <c r="C12" s="6" t="inlineStr">
        <is>
          <t>April</t>
        </is>
      </c>
      <c r="D12" s="6" t="inlineStr">
        <is>
          <t>May</t>
        </is>
      </c>
      <c r="E12" s="6" t="inlineStr">
        <is>
          <t>June</t>
        </is>
      </c>
      <c r="F12" s="6" t="inlineStr">
        <is>
          <t>July</t>
        </is>
      </c>
      <c r="G12" s="6" t="inlineStr">
        <is>
          <t>August</t>
        </is>
      </c>
      <c r="H12" s="6" t="inlineStr">
        <is>
          <t>September</t>
        </is>
      </c>
      <c r="I12" s="6" t="inlineStr">
        <is>
          <t>October</t>
        </is>
      </c>
      <c r="J12" s="6" t="inlineStr">
        <is>
          <t>November</t>
        </is>
      </c>
      <c r="K12" s="6" t="inlineStr">
        <is>
          <t>December</t>
        </is>
      </c>
      <c r="L12" s="6" t="inlineStr">
        <is>
          <t>Totaal</t>
        </is>
      </c>
    </row>
    <row r="13">
      <c r="A13" s="7" t="inlineStr">
        <is>
          <t>BDR</t>
        </is>
      </c>
      <c r="B13" s="8" t="inlineStr">
        <is>
          <t>New Hires</t>
        </is>
      </c>
      <c r="C13" s="9" t="n">
        <v>0</v>
      </c>
      <c r="D13" s="9" t="n">
        <v>3</v>
      </c>
      <c r="E13" s="9" t="n">
        <v>6</v>
      </c>
      <c r="F13" s="9" t="n">
        <v>8</v>
      </c>
      <c r="G13" s="9" t="n">
        <v>8</v>
      </c>
      <c r="H13" s="9" t="n">
        <v>8</v>
      </c>
      <c r="I13" s="9" t="n">
        <v>0</v>
      </c>
      <c r="J13" s="9" t="n">
        <v>0</v>
      </c>
      <c r="K13" s="9" t="n">
        <v>0</v>
      </c>
      <c r="L13" s="10">
        <f>SUM(C13:K13)</f>
        <v/>
      </c>
    </row>
    <row r="14">
      <c r="A14" s="8" t="n"/>
      <c r="B14" s="8" t="inlineStr">
        <is>
          <t>Cumulatief</t>
        </is>
      </c>
      <c r="C14" s="10">
        <f>C13</f>
        <v/>
      </c>
      <c r="D14" s="10">
        <f>C14+D13</f>
        <v/>
      </c>
      <c r="E14" s="10">
        <f>D14+E13</f>
        <v/>
      </c>
      <c r="F14" s="10">
        <f>E14+F13</f>
        <v/>
      </c>
      <c r="G14" s="10">
        <f>F14+G13</f>
        <v/>
      </c>
      <c r="H14" s="10">
        <f>G14+H13</f>
        <v/>
      </c>
      <c r="I14" s="10">
        <f>H14+I13</f>
        <v/>
      </c>
      <c r="J14" s="10">
        <f>I14+J13</f>
        <v/>
      </c>
      <c r="K14" s="10">
        <f>J14+K13</f>
        <v/>
      </c>
      <c r="L14" s="8" t="n"/>
    </row>
    <row r="15">
      <c r="A15" s="7" t="inlineStr">
        <is>
          <t>AE</t>
        </is>
      </c>
      <c r="B15" s="8" t="inlineStr">
        <is>
          <t>New Hires</t>
        </is>
      </c>
      <c r="C15" s="9" t="n">
        <v>0</v>
      </c>
      <c r="D15" s="9" t="n">
        <v>3</v>
      </c>
      <c r="E15" s="9" t="n">
        <v>8</v>
      </c>
      <c r="F15" s="9" t="n">
        <v>8</v>
      </c>
      <c r="G15" s="9" t="n">
        <v>8</v>
      </c>
      <c r="H15" s="9" t="n">
        <v>8</v>
      </c>
      <c r="I15" s="9" t="n">
        <v>0</v>
      </c>
      <c r="J15" s="9" t="n">
        <v>0</v>
      </c>
      <c r="K15" s="9" t="n">
        <v>0</v>
      </c>
      <c r="L15" s="10">
        <f>SUM(C15:K15)</f>
        <v/>
      </c>
    </row>
    <row r="16">
      <c r="A16" s="8" t="n"/>
      <c r="B16" s="8" t="inlineStr">
        <is>
          <t>Cumulatief</t>
        </is>
      </c>
      <c r="C16" s="10">
        <f>C15</f>
        <v/>
      </c>
      <c r="D16" s="10">
        <f>C16+D15</f>
        <v/>
      </c>
      <c r="E16" s="10">
        <f>D16+E15</f>
        <v/>
      </c>
      <c r="F16" s="10">
        <f>E16+F15</f>
        <v/>
      </c>
      <c r="G16" s="10">
        <f>F16+G15</f>
        <v/>
      </c>
      <c r="H16" s="10">
        <f>G16+H15</f>
        <v/>
      </c>
      <c r="I16" s="10">
        <f>H16+I15</f>
        <v/>
      </c>
      <c r="J16" s="10">
        <f>I16+J15</f>
        <v/>
      </c>
      <c r="K16" s="10">
        <f>J16+K15</f>
        <v/>
      </c>
      <c r="L16" s="8" t="n"/>
    </row>
    <row r="17">
      <c r="A17" s="7" t="inlineStr">
        <is>
          <t>Totaal</t>
        </is>
      </c>
      <c r="B17" s="8" t="inlineStr">
        <is>
          <t>New Hires</t>
        </is>
      </c>
      <c r="C17" s="10">
        <f>C13+C15</f>
        <v/>
      </c>
      <c r="D17" s="10">
        <f>D13+D15</f>
        <v/>
      </c>
      <c r="E17" s="10">
        <f>E13+E15</f>
        <v/>
      </c>
      <c r="F17" s="10">
        <f>F13+F15</f>
        <v/>
      </c>
      <c r="G17" s="10">
        <f>G13+G15</f>
        <v/>
      </c>
      <c r="H17" s="10">
        <f>H13+H15</f>
        <v/>
      </c>
      <c r="I17" s="10">
        <f>I13+I15</f>
        <v/>
      </c>
      <c r="J17" s="10">
        <f>J13+J15</f>
        <v/>
      </c>
      <c r="K17" s="10">
        <f>K13+K15</f>
        <v/>
      </c>
      <c r="L17" s="10">
        <f>SUM(C17:K17)</f>
        <v/>
      </c>
    </row>
    <row r="18">
      <c r="A18" s="8" t="n"/>
      <c r="B18" s="8" t="inlineStr">
        <is>
          <t>Cumulatief</t>
        </is>
      </c>
      <c r="C18" s="10">
        <f>C17</f>
        <v/>
      </c>
      <c r="D18" s="10">
        <f>C18+D17</f>
        <v/>
      </c>
      <c r="E18" s="10">
        <f>D18+E17</f>
        <v/>
      </c>
      <c r="F18" s="10">
        <f>E18+F17</f>
        <v/>
      </c>
      <c r="G18" s="10">
        <f>F18+G17</f>
        <v/>
      </c>
      <c r="H18" s="10">
        <f>G18+H17</f>
        <v/>
      </c>
      <c r="I18" s="10">
        <f>H18+I17</f>
        <v/>
      </c>
      <c r="J18" s="10">
        <f>I18+J17</f>
        <v/>
      </c>
      <c r="K18" s="10">
        <f>J18+K17</f>
        <v/>
      </c>
      <c r="L18" s="8" t="n"/>
    </row>
    <row r="20">
      <c r="A20" s="2" t="inlineStr">
        <is>
          <t>ARR TARGETS (M EUR)</t>
        </is>
      </c>
    </row>
    <row r="21">
      <c r="A21" s="6" t="inlineStr">
        <is>
          <t>Metric</t>
        </is>
      </c>
      <c r="B21" s="6" t="n"/>
      <c r="C21" s="6" t="inlineStr">
        <is>
          <t>April</t>
        </is>
      </c>
      <c r="D21" s="6" t="inlineStr">
        <is>
          <t>May</t>
        </is>
      </c>
      <c r="E21" s="6" t="inlineStr">
        <is>
          <t>June</t>
        </is>
      </c>
      <c r="F21" s="6" t="inlineStr">
        <is>
          <t>July</t>
        </is>
      </c>
      <c r="G21" s="6" t="inlineStr">
        <is>
          <t>August</t>
        </is>
      </c>
      <c r="H21" s="6" t="inlineStr">
        <is>
          <t>September</t>
        </is>
      </c>
      <c r="I21" s="6" t="inlineStr">
        <is>
          <t>October</t>
        </is>
      </c>
      <c r="J21" s="6" t="inlineStr">
        <is>
          <t>November</t>
        </is>
      </c>
      <c r="K21" s="6" t="inlineStr">
        <is>
          <t>December</t>
        </is>
      </c>
      <c r="L21" s="6" t="inlineStr">
        <is>
          <t>Totaal</t>
        </is>
      </c>
    </row>
    <row r="22">
      <c r="A22" s="7" t="inlineStr">
        <is>
          <t>ARR Budget</t>
        </is>
      </c>
      <c r="B22" s="8" t="n"/>
      <c r="C22" s="11" t="n">
        <v>1</v>
      </c>
      <c r="D22" s="11" t="n">
        <v>1</v>
      </c>
      <c r="E22" s="11" t="n">
        <v>1</v>
      </c>
      <c r="F22" s="11" t="n">
        <v>1.1</v>
      </c>
      <c r="G22" s="11" t="n">
        <v>0.9</v>
      </c>
      <c r="H22" s="11" t="n">
        <v>1.45</v>
      </c>
      <c r="I22" s="11" t="n">
        <v>1.5</v>
      </c>
      <c r="J22" s="11" t="n">
        <v>1.5</v>
      </c>
      <c r="K22" s="11" t="n">
        <v>1.45</v>
      </c>
      <c r="L22" s="12">
        <f>SUM(C22:K22)</f>
        <v/>
      </c>
    </row>
    <row r="23">
      <c r="A23" s="7" t="inlineStr">
        <is>
          <t>ARR Stretch</t>
        </is>
      </c>
      <c r="B23" s="8" t="n"/>
      <c r="C23" s="9" t="n"/>
      <c r="D23" s="11" t="n">
        <v>1.1</v>
      </c>
      <c r="E23" s="11" t="n">
        <v>1.1</v>
      </c>
      <c r="F23" s="11" t="n">
        <v>1.3</v>
      </c>
      <c r="G23" s="11" t="n">
        <v>1.3</v>
      </c>
      <c r="H23" s="11" t="n">
        <v>1.7</v>
      </c>
      <c r="I23" s="11" t="n">
        <v>1.7</v>
      </c>
      <c r="J23" s="11" t="n">
        <v>1.7</v>
      </c>
      <c r="K23" s="11" t="n">
        <v>1.7</v>
      </c>
      <c r="L23" s="12">
        <f>SUM(C23:K23)</f>
        <v/>
      </c>
    </row>
    <row r="24">
      <c r="A24" s="7" t="inlineStr">
        <is>
          <t>SQLs</t>
        </is>
      </c>
      <c r="B24" s="8" t="n"/>
      <c r="C24" s="13" t="n">
        <v>900</v>
      </c>
      <c r="D24" s="13" t="n">
        <v>1050</v>
      </c>
      <c r="E24" s="13" t="n">
        <v>1200</v>
      </c>
      <c r="F24" s="9" t="n"/>
      <c r="G24" s="9" t="n"/>
      <c r="H24" s="9" t="n"/>
      <c r="I24" s="9" t="n"/>
      <c r="J24" s="9" t="n"/>
      <c r="K24" s="9" t="n"/>
      <c r="L24" s="8" t="n"/>
    </row>
  </sheetData>
  <mergeCells count="6">
    <mergeCell ref="A7:L7"/>
    <mergeCell ref="A1:L1"/>
    <mergeCell ref="A5:L5"/>
    <mergeCell ref="A8:L8"/>
    <mergeCell ref="A6:L6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DE — Scenario Planning (3 scenario's)</t>
        </is>
      </c>
    </row>
    <row r="3">
      <c r="A3" s="2" t="inlineStr">
        <is>
          <t>LEGENDA — Hoe deze sheet te lezen</t>
        </is>
      </c>
    </row>
    <row r="4">
      <c r="A4" s="3" t="inlineStr">
        <is>
          <t>Gele cellen = invoer (aanpasbaar).</t>
        </is>
      </c>
    </row>
    <row r="5">
      <c r="A5" s="3" t="inlineStr">
        <is>
          <t>Groene cellen = formules (cumulatief, totalen) — niet handmatig wijzigen.</t>
        </is>
      </c>
    </row>
    <row r="6">
      <c r="A6" s="3" t="inlineStr">
        <is>
          <t>3 scenario's: S1 Baseline, S2 Hyper Growth, S3 Growth.</t>
        </is>
      </c>
    </row>
    <row r="7">
      <c r="A7" s="3" t="inlineStr">
        <is>
          <t>ARR Budget = basis target. ARR Stretch = ambitieus target (tussen haakjes).</t>
        </is>
      </c>
    </row>
    <row r="8">
      <c r="A8" s="3" t="inlineStr">
        <is>
          <t>Ramp DE: 10K (maand 1) → 20K (maand 2) → 30K (maand 3+) per AE.</t>
        </is>
      </c>
    </row>
    <row r="9">
      <c r="A9" s="3" t="inlineStr">
        <is>
          <t>Bedragen in miljoenen EUR.</t>
        </is>
      </c>
    </row>
    <row r="10">
      <c r="A10" s="3" t="inlineStr">
        <is>
          <t>Challenges (Koen): 1) Data-infrastructuur  2) Voldoende managers.</t>
        </is>
      </c>
    </row>
    <row r="12">
      <c r="A12" s="14" t="inlineStr">
        <is>
          <t>SCENARIO 1: BASELINE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4">
      <c r="A14" s="2" t="inlineStr">
        <is>
          <t>Hiring Plan</t>
        </is>
      </c>
    </row>
    <row r="15">
      <c r="A15" s="6" t="inlineStr">
        <is>
          <t>Rol</t>
        </is>
      </c>
      <c r="B15" s="6" t="inlineStr">
        <is>
          <t>Type</t>
        </is>
      </c>
      <c r="C15" s="6" t="inlineStr">
        <is>
          <t>April</t>
        </is>
      </c>
      <c r="D15" s="6" t="inlineStr">
        <is>
          <t>May</t>
        </is>
      </c>
      <c r="E15" s="6" t="inlineStr">
        <is>
          <t>June</t>
        </is>
      </c>
      <c r="F15" s="6" t="inlineStr">
        <is>
          <t>July</t>
        </is>
      </c>
      <c r="G15" s="6" t="inlineStr">
        <is>
          <t>August</t>
        </is>
      </c>
      <c r="H15" s="6" t="inlineStr">
        <is>
          <t>September</t>
        </is>
      </c>
      <c r="I15" s="6" t="inlineStr">
        <is>
          <t>October</t>
        </is>
      </c>
      <c r="J15" s="6" t="inlineStr">
        <is>
          <t>November</t>
        </is>
      </c>
      <c r="K15" s="6" t="inlineStr">
        <is>
          <t>December</t>
        </is>
      </c>
      <c r="L15" s="6" t="inlineStr">
        <is>
          <t>Totaal</t>
        </is>
      </c>
    </row>
    <row r="16">
      <c r="A16" s="7" t="inlineStr">
        <is>
          <t>BDR</t>
        </is>
      </c>
      <c r="B16" s="8" t="inlineStr">
        <is>
          <t>New Hires</t>
        </is>
      </c>
      <c r="C16" s="9" t="n">
        <v>4</v>
      </c>
      <c r="D16" s="9" t="n">
        <v>3</v>
      </c>
      <c r="E16" s="9" t="n">
        <v>4</v>
      </c>
      <c r="F16" s="9" t="n">
        <v>4</v>
      </c>
      <c r="G16" s="9" t="n">
        <v>4</v>
      </c>
      <c r="H16" s="9" t="n">
        <v>4</v>
      </c>
      <c r="I16" s="9" t="n">
        <v>4</v>
      </c>
      <c r="J16" s="9" t="n">
        <v>4</v>
      </c>
      <c r="K16" s="9" t="n">
        <v>4</v>
      </c>
      <c r="L16" s="10">
        <f>SUM(C16:K16)</f>
        <v/>
      </c>
    </row>
    <row r="17">
      <c r="A17" s="8" t="n"/>
      <c r="B17" s="8" t="inlineStr">
        <is>
          <t>Cumulatief</t>
        </is>
      </c>
      <c r="C17" s="10">
        <f>C16</f>
        <v/>
      </c>
      <c r="D17" s="10">
        <f>C17+D16</f>
        <v/>
      </c>
      <c r="E17" s="10">
        <f>D17+E16</f>
        <v/>
      </c>
      <c r="F17" s="10">
        <f>E17+F16</f>
        <v/>
      </c>
      <c r="G17" s="10">
        <f>F17+G16</f>
        <v/>
      </c>
      <c r="H17" s="10">
        <f>G17+H16</f>
        <v/>
      </c>
      <c r="I17" s="10">
        <f>H17+I16</f>
        <v/>
      </c>
      <c r="J17" s="10">
        <f>I17+J16</f>
        <v/>
      </c>
      <c r="K17" s="10">
        <f>J17+K16</f>
        <v/>
      </c>
      <c r="L17" s="8" t="n"/>
    </row>
    <row r="18">
      <c r="A18" s="7" t="inlineStr">
        <is>
          <t>AE</t>
        </is>
      </c>
      <c r="B18" s="8" t="inlineStr">
        <is>
          <t>New Hires</t>
        </is>
      </c>
      <c r="C18" s="9" t="n">
        <v>2</v>
      </c>
      <c r="D18" s="9" t="n">
        <v>3</v>
      </c>
      <c r="E18" s="9" t="n">
        <v>4</v>
      </c>
      <c r="F18" s="9" t="n">
        <v>4</v>
      </c>
      <c r="G18" s="9" t="n">
        <v>4</v>
      </c>
      <c r="H18" s="9" t="n">
        <v>4</v>
      </c>
      <c r="I18" s="9" t="n">
        <v>4</v>
      </c>
      <c r="J18" s="9" t="n">
        <v>4</v>
      </c>
      <c r="K18" s="9" t="n">
        <v>4</v>
      </c>
      <c r="L18" s="10">
        <f>SUM(C18:K18)</f>
        <v/>
      </c>
    </row>
    <row r="19">
      <c r="A19" s="8" t="n"/>
      <c r="B19" s="8" t="inlineStr">
        <is>
          <t>Cumulatief</t>
        </is>
      </c>
      <c r="C19" s="10">
        <f>C18</f>
        <v/>
      </c>
      <c r="D19" s="10">
        <f>C19+D18</f>
        <v/>
      </c>
      <c r="E19" s="10">
        <f>D19+E18</f>
        <v/>
      </c>
      <c r="F19" s="10">
        <f>E19+F18</f>
        <v/>
      </c>
      <c r="G19" s="10">
        <f>F19+G18</f>
        <v/>
      </c>
      <c r="H19" s="10">
        <f>G19+H18</f>
        <v/>
      </c>
      <c r="I19" s="10">
        <f>H19+I18</f>
        <v/>
      </c>
      <c r="J19" s="10">
        <f>I19+J18</f>
        <v/>
      </c>
      <c r="K19" s="10">
        <f>J19+K18</f>
        <v/>
      </c>
      <c r="L19" s="8" t="n"/>
    </row>
    <row r="20">
      <c r="A20" s="7" t="inlineStr">
        <is>
          <t>Totaal</t>
        </is>
      </c>
      <c r="B20" s="8" t="inlineStr">
        <is>
          <t>New Hires</t>
        </is>
      </c>
      <c r="C20" s="10">
        <f>C16+C18</f>
        <v/>
      </c>
      <c r="D20" s="10">
        <f>D16+D18</f>
        <v/>
      </c>
      <c r="E20" s="10">
        <f>E16+E18</f>
        <v/>
      </c>
      <c r="F20" s="10">
        <f>F16+F18</f>
        <v/>
      </c>
      <c r="G20" s="10">
        <f>G16+G18</f>
        <v/>
      </c>
      <c r="H20" s="10">
        <f>H16+H18</f>
        <v/>
      </c>
      <c r="I20" s="10">
        <f>I16+I18</f>
        <v/>
      </c>
      <c r="J20" s="10">
        <f>J16+J18</f>
        <v/>
      </c>
      <c r="K20" s="10">
        <f>K16+K18</f>
        <v/>
      </c>
      <c r="L20" s="10">
        <f>SUM(C20:K20)</f>
        <v/>
      </c>
    </row>
    <row r="21">
      <c r="A21" s="8" t="n"/>
      <c r="B21" s="8" t="inlineStr">
        <is>
          <t>Cumulatief</t>
        </is>
      </c>
      <c r="C21" s="10">
        <f>C20</f>
        <v/>
      </c>
      <c r="D21" s="10">
        <f>C21+D20</f>
        <v/>
      </c>
      <c r="E21" s="10">
        <f>D21+E20</f>
        <v/>
      </c>
      <c r="F21" s="10">
        <f>E21+F20</f>
        <v/>
      </c>
      <c r="G21" s="10">
        <f>F21+G20</f>
        <v/>
      </c>
      <c r="H21" s="10">
        <f>G21+H20</f>
        <v/>
      </c>
      <c r="I21" s="10">
        <f>H21+I20</f>
        <v/>
      </c>
      <c r="J21" s="10">
        <f>I21+J20</f>
        <v/>
      </c>
      <c r="K21" s="10">
        <f>J21+K20</f>
        <v/>
      </c>
      <c r="L21" s="8" t="n"/>
    </row>
    <row r="23">
      <c r="A23" s="2" t="inlineStr">
        <is>
          <t>ARR Targets (M EUR)</t>
        </is>
      </c>
    </row>
    <row r="24">
      <c r="A24" s="6" t="inlineStr">
        <is>
          <t>Metric</t>
        </is>
      </c>
      <c r="B24" s="6" t="n"/>
      <c r="C24" s="6" t="inlineStr">
        <is>
          <t>April</t>
        </is>
      </c>
      <c r="D24" s="6" t="inlineStr">
        <is>
          <t>May</t>
        </is>
      </c>
      <c r="E24" s="6" t="inlineStr">
        <is>
          <t>June</t>
        </is>
      </c>
      <c r="F24" s="6" t="inlineStr">
        <is>
          <t>July</t>
        </is>
      </c>
      <c r="G24" s="6" t="inlineStr">
        <is>
          <t>August</t>
        </is>
      </c>
      <c r="H24" s="6" t="inlineStr">
        <is>
          <t>September</t>
        </is>
      </c>
      <c r="I24" s="6" t="inlineStr">
        <is>
          <t>October</t>
        </is>
      </c>
      <c r="J24" s="6" t="inlineStr">
        <is>
          <t>November</t>
        </is>
      </c>
      <c r="K24" s="6" t="inlineStr">
        <is>
          <t>December</t>
        </is>
      </c>
      <c r="L24" s="6" t="inlineStr">
        <is>
          <t>Totaal</t>
        </is>
      </c>
    </row>
    <row r="25">
      <c r="A25" s="7" t="inlineStr">
        <is>
          <t>ARR Budget</t>
        </is>
      </c>
      <c r="B25" s="8" t="n"/>
      <c r="C25" s="11" t="n">
        <v>0.21</v>
      </c>
      <c r="D25" s="11" t="n">
        <v>0.24</v>
      </c>
      <c r="E25" s="11" t="n">
        <v>0.27</v>
      </c>
      <c r="F25" s="11" t="n">
        <v>0.31</v>
      </c>
      <c r="G25" s="11" t="n">
        <v>0.28</v>
      </c>
      <c r="H25" s="11" t="n">
        <v>0.47</v>
      </c>
      <c r="I25" s="11" t="n">
        <v>0.52</v>
      </c>
      <c r="J25" s="11" t="n">
        <v>0.55</v>
      </c>
      <c r="K25" s="11" t="n">
        <v>0.55</v>
      </c>
      <c r="L25" s="12">
        <f>SUM(C25:K25)</f>
        <v/>
      </c>
    </row>
    <row r="26">
      <c r="A26" s="7" t="inlineStr">
        <is>
          <t>ARR Stretch</t>
        </is>
      </c>
      <c r="B26" s="8" t="n"/>
      <c r="C26" s="11" t="n">
        <v>0.26</v>
      </c>
      <c r="D26" s="11" t="n">
        <v>0.4</v>
      </c>
      <c r="E26" s="11" t="n">
        <v>0.4</v>
      </c>
      <c r="F26" s="11" t="n">
        <v>0.5</v>
      </c>
      <c r="G26" s="11" t="n">
        <v>0.6</v>
      </c>
      <c r="H26" s="11" t="n">
        <v>0.65</v>
      </c>
      <c r="I26" s="11" t="n">
        <v>0.75</v>
      </c>
      <c r="J26" s="11" t="n">
        <v>0.85</v>
      </c>
      <c r="K26" s="11" t="n">
        <v>1</v>
      </c>
      <c r="L26" s="12">
        <f>SUM(C26:K26)</f>
        <v/>
      </c>
    </row>
    <row r="27">
      <c r="A27" s="7" t="inlineStr">
        <is>
          <t>SQLs</t>
        </is>
      </c>
      <c r="B27" s="8" t="n"/>
      <c r="C27" s="13" t="n">
        <v>370</v>
      </c>
      <c r="D27" s="9" t="n"/>
      <c r="E27" s="9" t="n"/>
      <c r="F27" s="9" t="n"/>
      <c r="G27" s="9" t="n"/>
      <c r="H27" s="9" t="n"/>
      <c r="I27" s="9" t="n"/>
      <c r="J27" s="9" t="n"/>
      <c r="K27" s="9" t="n"/>
      <c r="L27" s="8" t="n"/>
    </row>
    <row r="28">
      <c r="A28" s="7" t="inlineStr">
        <is>
          <t>Mango Leads</t>
        </is>
      </c>
      <c r="B28" s="8" t="n"/>
      <c r="C28" s="13" t="n">
        <v>100</v>
      </c>
      <c r="D28" s="9" t="n"/>
      <c r="E28" s="9" t="n"/>
      <c r="F28" s="9" t="n"/>
      <c r="G28" s="9" t="n"/>
      <c r="H28" s="9" t="n"/>
      <c r="I28" s="9" t="n"/>
      <c r="J28" s="9" t="n"/>
      <c r="K28" s="9" t="n"/>
      <c r="L28" s="8" t="n"/>
    </row>
    <row r="31">
      <c r="A31" s="14" t="inlineStr">
        <is>
          <t>SCENARIO 2: HYPER GROWTH</t>
        </is>
      </c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</row>
    <row r="33">
      <c r="A33" s="2" t="inlineStr">
        <is>
          <t>Hiring Plan</t>
        </is>
      </c>
    </row>
    <row r="34">
      <c r="A34" s="6" t="inlineStr">
        <is>
          <t>Rol</t>
        </is>
      </c>
      <c r="B34" s="6" t="inlineStr">
        <is>
          <t>Type</t>
        </is>
      </c>
      <c r="C34" s="6" t="inlineStr">
        <is>
          <t>April</t>
        </is>
      </c>
      <c r="D34" s="6" t="inlineStr">
        <is>
          <t>May</t>
        </is>
      </c>
      <c r="E34" s="6" t="inlineStr">
        <is>
          <t>June</t>
        </is>
      </c>
      <c r="F34" s="6" t="inlineStr">
        <is>
          <t>July</t>
        </is>
      </c>
      <c r="G34" s="6" t="inlineStr">
        <is>
          <t>August</t>
        </is>
      </c>
      <c r="H34" s="6" t="inlineStr">
        <is>
          <t>September</t>
        </is>
      </c>
      <c r="I34" s="6" t="inlineStr">
        <is>
          <t>October</t>
        </is>
      </c>
      <c r="J34" s="6" t="inlineStr">
        <is>
          <t>November</t>
        </is>
      </c>
      <c r="K34" s="6" t="inlineStr">
        <is>
          <t>December</t>
        </is>
      </c>
      <c r="L34" s="6" t="inlineStr">
        <is>
          <t>Totaal</t>
        </is>
      </c>
    </row>
    <row r="35">
      <c r="A35" s="7" t="inlineStr">
        <is>
          <t>BDR</t>
        </is>
      </c>
      <c r="B35" s="8" t="inlineStr">
        <is>
          <t>New Hires</t>
        </is>
      </c>
      <c r="C35" s="9" t="n">
        <v>4</v>
      </c>
      <c r="D35" s="9" t="n">
        <v>3</v>
      </c>
      <c r="E35" s="9" t="n">
        <v>6</v>
      </c>
      <c r="F35" s="9" t="n">
        <v>6</v>
      </c>
      <c r="G35" s="9" t="n">
        <v>8</v>
      </c>
      <c r="H35" s="9" t="n">
        <v>8</v>
      </c>
      <c r="I35" s="9" t="n">
        <v>8</v>
      </c>
      <c r="J35" s="9" t="n">
        <v>8</v>
      </c>
      <c r="K35" s="9" t="n">
        <v>8</v>
      </c>
      <c r="L35" s="10">
        <f>SUM(C35:K35)</f>
        <v/>
      </c>
    </row>
    <row r="36">
      <c r="A36" s="8" t="n"/>
      <c r="B36" s="8" t="inlineStr">
        <is>
          <t>Cumulatief</t>
        </is>
      </c>
      <c r="C36" s="10">
        <f>C35</f>
        <v/>
      </c>
      <c r="D36" s="10">
        <f>C36+D35</f>
        <v/>
      </c>
      <c r="E36" s="10">
        <f>D36+E35</f>
        <v/>
      </c>
      <c r="F36" s="10">
        <f>E36+F35</f>
        <v/>
      </c>
      <c r="G36" s="10">
        <f>F36+G35</f>
        <v/>
      </c>
      <c r="H36" s="10">
        <f>G36+H35</f>
        <v/>
      </c>
      <c r="I36" s="10">
        <f>H36+I35</f>
        <v/>
      </c>
      <c r="J36" s="10">
        <f>I36+J35</f>
        <v/>
      </c>
      <c r="K36" s="10">
        <f>J36+K35</f>
        <v/>
      </c>
      <c r="L36" s="8" t="n"/>
    </row>
    <row r="37">
      <c r="A37" s="7" t="inlineStr">
        <is>
          <t>AE</t>
        </is>
      </c>
      <c r="B37" s="8" t="inlineStr">
        <is>
          <t>New Hires</t>
        </is>
      </c>
      <c r="C37" s="9" t="n">
        <v>2</v>
      </c>
      <c r="D37" s="9" t="n">
        <v>3</v>
      </c>
      <c r="E37" s="9" t="n">
        <v>6</v>
      </c>
      <c r="F37" s="9" t="n">
        <v>6</v>
      </c>
      <c r="G37" s="9" t="n">
        <v>8</v>
      </c>
      <c r="H37" s="9" t="n">
        <v>8</v>
      </c>
      <c r="I37" s="9" t="n">
        <v>8</v>
      </c>
      <c r="J37" s="9" t="n">
        <v>8</v>
      </c>
      <c r="K37" s="9" t="n">
        <v>8</v>
      </c>
      <c r="L37" s="10">
        <f>SUM(C37:K37)</f>
        <v/>
      </c>
    </row>
    <row r="38">
      <c r="A38" s="8" t="n"/>
      <c r="B38" s="8" t="inlineStr">
        <is>
          <t>Cumulatief</t>
        </is>
      </c>
      <c r="C38" s="10">
        <f>C37</f>
        <v/>
      </c>
      <c r="D38" s="10">
        <f>C38+D37</f>
        <v/>
      </c>
      <c r="E38" s="10">
        <f>D38+E37</f>
        <v/>
      </c>
      <c r="F38" s="10">
        <f>E38+F37</f>
        <v/>
      </c>
      <c r="G38" s="10">
        <f>F38+G37</f>
        <v/>
      </c>
      <c r="H38" s="10">
        <f>G38+H37</f>
        <v/>
      </c>
      <c r="I38" s="10">
        <f>H38+I37</f>
        <v/>
      </c>
      <c r="J38" s="10">
        <f>I38+J37</f>
        <v/>
      </c>
      <c r="K38" s="10">
        <f>J38+K37</f>
        <v/>
      </c>
      <c r="L38" s="8" t="n"/>
    </row>
    <row r="39">
      <c r="A39" s="7" t="inlineStr">
        <is>
          <t>Totaal</t>
        </is>
      </c>
      <c r="B39" s="8" t="inlineStr">
        <is>
          <t>New Hires</t>
        </is>
      </c>
      <c r="C39" s="10">
        <f>C35+C37</f>
        <v/>
      </c>
      <c r="D39" s="10">
        <f>D35+D37</f>
        <v/>
      </c>
      <c r="E39" s="10">
        <f>E35+E37</f>
        <v/>
      </c>
      <c r="F39" s="10">
        <f>F35+F37</f>
        <v/>
      </c>
      <c r="G39" s="10">
        <f>G35+G37</f>
        <v/>
      </c>
      <c r="H39" s="10">
        <f>H35+H37</f>
        <v/>
      </c>
      <c r="I39" s="10">
        <f>I35+I37</f>
        <v/>
      </c>
      <c r="J39" s="10">
        <f>J35+J37</f>
        <v/>
      </c>
      <c r="K39" s="10">
        <f>K35+K37</f>
        <v/>
      </c>
      <c r="L39" s="10">
        <f>SUM(C39:K39)</f>
        <v/>
      </c>
    </row>
    <row r="40">
      <c r="A40" s="8" t="n"/>
      <c r="B40" s="8" t="inlineStr">
        <is>
          <t>Cumulatief</t>
        </is>
      </c>
      <c r="C40" s="10">
        <f>C39</f>
        <v/>
      </c>
      <c r="D40" s="10">
        <f>C40+D39</f>
        <v/>
      </c>
      <c r="E40" s="10">
        <f>D40+E39</f>
        <v/>
      </c>
      <c r="F40" s="10">
        <f>E40+F39</f>
        <v/>
      </c>
      <c r="G40" s="10">
        <f>F40+G39</f>
        <v/>
      </c>
      <c r="H40" s="10">
        <f>G40+H39</f>
        <v/>
      </c>
      <c r="I40" s="10">
        <f>H40+I39</f>
        <v/>
      </c>
      <c r="J40" s="10">
        <f>I40+J39</f>
        <v/>
      </c>
      <c r="K40" s="10">
        <f>J40+K39</f>
        <v/>
      </c>
      <c r="L40" s="8" t="n"/>
    </row>
    <row r="42">
      <c r="A42" s="2" t="inlineStr">
        <is>
          <t>ARR Targets (M EUR)</t>
        </is>
      </c>
    </row>
    <row r="43">
      <c r="A43" s="6" t="inlineStr">
        <is>
          <t>Metric</t>
        </is>
      </c>
      <c r="B43" s="6" t="n"/>
      <c r="C43" s="6" t="inlineStr">
        <is>
          <t>April</t>
        </is>
      </c>
      <c r="D43" s="6" t="inlineStr">
        <is>
          <t>May</t>
        </is>
      </c>
      <c r="E43" s="6" t="inlineStr">
        <is>
          <t>June</t>
        </is>
      </c>
      <c r="F43" s="6" t="inlineStr">
        <is>
          <t>July</t>
        </is>
      </c>
      <c r="G43" s="6" t="inlineStr">
        <is>
          <t>August</t>
        </is>
      </c>
      <c r="H43" s="6" t="inlineStr">
        <is>
          <t>September</t>
        </is>
      </c>
      <c r="I43" s="6" t="inlineStr">
        <is>
          <t>October</t>
        </is>
      </c>
      <c r="J43" s="6" t="inlineStr">
        <is>
          <t>November</t>
        </is>
      </c>
      <c r="K43" s="6" t="inlineStr">
        <is>
          <t>December</t>
        </is>
      </c>
      <c r="L43" s="6" t="inlineStr">
        <is>
          <t>Totaal</t>
        </is>
      </c>
    </row>
    <row r="44">
      <c r="A44" s="7" t="inlineStr">
        <is>
          <t>ARR Budget</t>
        </is>
      </c>
      <c r="B44" s="8" t="n"/>
      <c r="C44" s="11" t="n">
        <v>0.21</v>
      </c>
      <c r="D44" s="11" t="n">
        <v>0.24</v>
      </c>
      <c r="E44" s="11" t="n">
        <v>0.27</v>
      </c>
      <c r="F44" s="11" t="n">
        <v>0.31</v>
      </c>
      <c r="G44" s="11" t="n">
        <v>0.28</v>
      </c>
      <c r="H44" s="11" t="n">
        <v>0.47</v>
      </c>
      <c r="I44" s="11" t="n">
        <v>0.52</v>
      </c>
      <c r="J44" s="11" t="n">
        <v>0.55</v>
      </c>
      <c r="K44" s="11" t="n">
        <v>0.55</v>
      </c>
      <c r="L44" s="12">
        <f>SUM(C44:K44)</f>
        <v/>
      </c>
    </row>
    <row r="45">
      <c r="A45" s="7" t="inlineStr">
        <is>
          <t>ARR Stretch</t>
        </is>
      </c>
      <c r="B45" s="8" t="n"/>
      <c r="C45" s="11" t="n">
        <v>0.26</v>
      </c>
      <c r="D45" s="11" t="n">
        <v>0.4</v>
      </c>
      <c r="E45" s="11" t="n">
        <v>0.4</v>
      </c>
      <c r="F45" s="11" t="n">
        <v>0.5</v>
      </c>
      <c r="G45" s="11" t="n">
        <v>0.6</v>
      </c>
      <c r="H45" s="11" t="n">
        <v>0.65</v>
      </c>
      <c r="I45" s="11" t="n">
        <v>0.75</v>
      </c>
      <c r="J45" s="11" t="n">
        <v>0.85</v>
      </c>
      <c r="K45" s="11" t="n">
        <v>0.85</v>
      </c>
      <c r="L45" s="12">
        <f>SUM(C45:K45)</f>
        <v/>
      </c>
    </row>
    <row r="46">
      <c r="A46" s="7" t="inlineStr">
        <is>
          <t>SQLs</t>
        </is>
      </c>
      <c r="B46" s="8" t="n"/>
      <c r="C46" s="13" t="n">
        <v>370</v>
      </c>
      <c r="D46" s="9" t="n"/>
      <c r="E46" s="9" t="n"/>
      <c r="F46" s="9" t="n"/>
      <c r="G46" s="9" t="n"/>
      <c r="H46" s="9" t="n"/>
      <c r="I46" s="9" t="n"/>
      <c r="J46" s="9" t="n"/>
      <c r="K46" s="9" t="n"/>
      <c r="L46" s="8" t="n"/>
    </row>
    <row r="47">
      <c r="A47" s="7" t="inlineStr">
        <is>
          <t>Mango Leads</t>
        </is>
      </c>
      <c r="B47" s="8" t="n"/>
      <c r="C47" s="13" t="n">
        <v>100</v>
      </c>
      <c r="D47" s="9" t="n"/>
      <c r="E47" s="9" t="n"/>
      <c r="F47" s="9" t="n"/>
      <c r="G47" s="9" t="n"/>
      <c r="H47" s="9" t="n"/>
      <c r="I47" s="9" t="n"/>
      <c r="J47" s="9" t="n"/>
      <c r="K47" s="9" t="n"/>
      <c r="L47" s="8" t="n"/>
    </row>
    <row r="50">
      <c r="A50" s="14" t="inlineStr">
        <is>
          <t>SCENARIO 3: GROWTH</t>
        </is>
      </c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</row>
    <row r="52">
      <c r="A52" s="2" t="inlineStr">
        <is>
          <t>Hiring Plan</t>
        </is>
      </c>
    </row>
    <row r="53">
      <c r="A53" s="6" t="inlineStr">
        <is>
          <t>Rol</t>
        </is>
      </c>
      <c r="B53" s="6" t="inlineStr">
        <is>
          <t>Type</t>
        </is>
      </c>
      <c r="C53" s="6" t="inlineStr">
        <is>
          <t>April</t>
        </is>
      </c>
      <c r="D53" s="6" t="inlineStr">
        <is>
          <t>May</t>
        </is>
      </c>
      <c r="E53" s="6" t="inlineStr">
        <is>
          <t>June</t>
        </is>
      </c>
      <c r="F53" s="6" t="inlineStr">
        <is>
          <t>July</t>
        </is>
      </c>
      <c r="G53" s="6" t="inlineStr">
        <is>
          <t>August</t>
        </is>
      </c>
      <c r="H53" s="6" t="inlineStr">
        <is>
          <t>September</t>
        </is>
      </c>
      <c r="I53" s="6" t="inlineStr">
        <is>
          <t>October</t>
        </is>
      </c>
      <c r="J53" s="6" t="inlineStr">
        <is>
          <t>November</t>
        </is>
      </c>
      <c r="K53" s="6" t="inlineStr">
        <is>
          <t>December</t>
        </is>
      </c>
      <c r="L53" s="6" t="inlineStr">
        <is>
          <t>Totaal</t>
        </is>
      </c>
    </row>
    <row r="54">
      <c r="A54" s="7" t="inlineStr">
        <is>
          <t>BDR</t>
        </is>
      </c>
      <c r="B54" s="8" t="inlineStr">
        <is>
          <t>New Hires</t>
        </is>
      </c>
      <c r="C54" s="9" t="n">
        <v>4</v>
      </c>
      <c r="D54" s="9" t="n">
        <v>3</v>
      </c>
      <c r="E54" s="9" t="n">
        <v>6</v>
      </c>
      <c r="F54" s="9" t="n">
        <v>6</v>
      </c>
      <c r="G54" s="9" t="n">
        <v>6</v>
      </c>
      <c r="H54" s="9" t="n">
        <v>6</v>
      </c>
      <c r="I54" s="9" t="n">
        <v>6</v>
      </c>
      <c r="J54" s="9" t="n">
        <v>6</v>
      </c>
      <c r="K54" s="9" t="n">
        <v>6</v>
      </c>
      <c r="L54" s="10">
        <f>SUM(C54:K54)</f>
        <v/>
      </c>
    </row>
    <row r="55">
      <c r="A55" s="8" t="n"/>
      <c r="B55" s="8" t="inlineStr">
        <is>
          <t>Cumulatief</t>
        </is>
      </c>
      <c r="C55" s="10">
        <f>C54</f>
        <v/>
      </c>
      <c r="D55" s="10">
        <f>C55+D54</f>
        <v/>
      </c>
      <c r="E55" s="10">
        <f>D55+E54</f>
        <v/>
      </c>
      <c r="F55" s="10">
        <f>E55+F54</f>
        <v/>
      </c>
      <c r="G55" s="10">
        <f>F55+G54</f>
        <v/>
      </c>
      <c r="H55" s="10">
        <f>G55+H54</f>
        <v/>
      </c>
      <c r="I55" s="10">
        <f>H55+I54</f>
        <v/>
      </c>
      <c r="J55" s="10">
        <f>I55+J54</f>
        <v/>
      </c>
      <c r="K55" s="10">
        <f>J55+K54</f>
        <v/>
      </c>
      <c r="L55" s="8" t="n"/>
    </row>
    <row r="56">
      <c r="A56" s="7" t="inlineStr">
        <is>
          <t>AE</t>
        </is>
      </c>
      <c r="B56" s="8" t="inlineStr">
        <is>
          <t>New Hires</t>
        </is>
      </c>
      <c r="C56" s="9" t="n">
        <v>2</v>
      </c>
      <c r="D56" s="9" t="n">
        <v>3</v>
      </c>
      <c r="E56" s="9" t="n">
        <v>6</v>
      </c>
      <c r="F56" s="9" t="n">
        <v>6</v>
      </c>
      <c r="G56" s="9" t="n">
        <v>6</v>
      </c>
      <c r="H56" s="9" t="n">
        <v>6</v>
      </c>
      <c r="I56" s="9" t="n">
        <v>6</v>
      </c>
      <c r="J56" s="9" t="n">
        <v>6</v>
      </c>
      <c r="K56" s="9" t="n">
        <v>6</v>
      </c>
      <c r="L56" s="10">
        <f>SUM(C56:K56)</f>
        <v/>
      </c>
    </row>
    <row r="57">
      <c r="A57" s="8" t="n"/>
      <c r="B57" s="8" t="inlineStr">
        <is>
          <t>Cumulatief</t>
        </is>
      </c>
      <c r="C57" s="10">
        <f>C56</f>
        <v/>
      </c>
      <c r="D57" s="10">
        <f>C57+D56</f>
        <v/>
      </c>
      <c r="E57" s="10">
        <f>D57+E56</f>
        <v/>
      </c>
      <c r="F57" s="10">
        <f>E57+F56</f>
        <v/>
      </c>
      <c r="G57" s="10">
        <f>F57+G56</f>
        <v/>
      </c>
      <c r="H57" s="10">
        <f>G57+H56</f>
        <v/>
      </c>
      <c r="I57" s="10">
        <f>H57+I56</f>
        <v/>
      </c>
      <c r="J57" s="10">
        <f>I57+J56</f>
        <v/>
      </c>
      <c r="K57" s="10">
        <f>J57+K56</f>
        <v/>
      </c>
      <c r="L57" s="8" t="n"/>
    </row>
    <row r="58">
      <c r="A58" s="7" t="inlineStr">
        <is>
          <t>Totaal</t>
        </is>
      </c>
      <c r="B58" s="8" t="inlineStr">
        <is>
          <t>New Hires</t>
        </is>
      </c>
      <c r="C58" s="10">
        <f>C54+C56</f>
        <v/>
      </c>
      <c r="D58" s="10">
        <f>D54+D56</f>
        <v/>
      </c>
      <c r="E58" s="10">
        <f>E54+E56</f>
        <v/>
      </c>
      <c r="F58" s="10">
        <f>F54+F56</f>
        <v/>
      </c>
      <c r="G58" s="10">
        <f>G54+G56</f>
        <v/>
      </c>
      <c r="H58" s="10">
        <f>H54+H56</f>
        <v/>
      </c>
      <c r="I58" s="10">
        <f>I54+I56</f>
        <v/>
      </c>
      <c r="J58" s="10">
        <f>J54+J56</f>
        <v/>
      </c>
      <c r="K58" s="10">
        <f>K54+K56</f>
        <v/>
      </c>
      <c r="L58" s="10">
        <f>SUM(C58:K58)</f>
        <v/>
      </c>
    </row>
    <row r="59">
      <c r="A59" s="8" t="n"/>
      <c r="B59" s="8" t="inlineStr">
        <is>
          <t>Cumulatief</t>
        </is>
      </c>
      <c r="C59" s="10">
        <f>C58</f>
        <v/>
      </c>
      <c r="D59" s="10">
        <f>C59+D58</f>
        <v/>
      </c>
      <c r="E59" s="10">
        <f>D59+E58</f>
        <v/>
      </c>
      <c r="F59" s="10">
        <f>E59+F58</f>
        <v/>
      </c>
      <c r="G59" s="10">
        <f>F59+G58</f>
        <v/>
      </c>
      <c r="H59" s="10">
        <f>G59+H58</f>
        <v/>
      </c>
      <c r="I59" s="10">
        <f>H59+I58</f>
        <v/>
      </c>
      <c r="J59" s="10">
        <f>I59+J58</f>
        <v/>
      </c>
      <c r="K59" s="10">
        <f>J59+K58</f>
        <v/>
      </c>
      <c r="L59" s="8" t="n"/>
    </row>
    <row r="61">
      <c r="A61" s="2" t="inlineStr">
        <is>
          <t>ARR Targets (M EUR)</t>
        </is>
      </c>
    </row>
    <row r="62">
      <c r="A62" s="6" t="inlineStr">
        <is>
          <t>Metric</t>
        </is>
      </c>
      <c r="B62" s="6" t="n"/>
      <c r="C62" s="6" t="inlineStr">
        <is>
          <t>April</t>
        </is>
      </c>
      <c r="D62" s="6" t="inlineStr">
        <is>
          <t>May</t>
        </is>
      </c>
      <c r="E62" s="6" t="inlineStr">
        <is>
          <t>June</t>
        </is>
      </c>
      <c r="F62" s="6" t="inlineStr">
        <is>
          <t>July</t>
        </is>
      </c>
      <c r="G62" s="6" t="inlineStr">
        <is>
          <t>August</t>
        </is>
      </c>
      <c r="H62" s="6" t="inlineStr">
        <is>
          <t>September</t>
        </is>
      </c>
      <c r="I62" s="6" t="inlineStr">
        <is>
          <t>October</t>
        </is>
      </c>
      <c r="J62" s="6" t="inlineStr">
        <is>
          <t>November</t>
        </is>
      </c>
      <c r="K62" s="6" t="inlineStr">
        <is>
          <t>December</t>
        </is>
      </c>
      <c r="L62" s="6" t="inlineStr">
        <is>
          <t>Totaal</t>
        </is>
      </c>
    </row>
    <row r="63">
      <c r="A63" s="7" t="inlineStr">
        <is>
          <t>ARR Budget</t>
        </is>
      </c>
      <c r="B63" s="8" t="n"/>
      <c r="C63" s="11" t="n">
        <v>0.21</v>
      </c>
      <c r="D63" s="11" t="n">
        <v>0.24</v>
      </c>
      <c r="E63" s="11" t="n">
        <v>0.27</v>
      </c>
      <c r="F63" s="11" t="n">
        <v>0.31</v>
      </c>
      <c r="G63" s="11" t="n">
        <v>0.28</v>
      </c>
      <c r="H63" s="11" t="n">
        <v>0.47</v>
      </c>
      <c r="I63" s="11" t="n">
        <v>0.52</v>
      </c>
      <c r="J63" s="11" t="n">
        <v>0.55</v>
      </c>
      <c r="K63" s="11" t="n">
        <v>0.55</v>
      </c>
      <c r="L63" s="12">
        <f>SUM(C63:K63)</f>
        <v/>
      </c>
    </row>
    <row r="64">
      <c r="A64" s="7" t="inlineStr">
        <is>
          <t>ARR Stretch</t>
        </is>
      </c>
      <c r="B64" s="8" t="n"/>
      <c r="C64" s="11" t="n">
        <v>0.26</v>
      </c>
      <c r="D64" s="11" t="n">
        <v>0.4</v>
      </c>
      <c r="E64" s="11" t="n">
        <v>0.4</v>
      </c>
      <c r="F64" s="11" t="n">
        <v>0.5</v>
      </c>
      <c r="G64" s="11" t="n">
        <v>0.6</v>
      </c>
      <c r="H64" s="11" t="n">
        <v>0.65</v>
      </c>
      <c r="I64" s="11" t="n">
        <v>0.75</v>
      </c>
      <c r="J64" s="11" t="n">
        <v>0.85</v>
      </c>
      <c r="K64" s="11" t="n">
        <v>0.85</v>
      </c>
      <c r="L64" s="12">
        <f>SUM(C64:K64)</f>
        <v/>
      </c>
    </row>
    <row r="65">
      <c r="A65" s="7" t="inlineStr">
        <is>
          <t>SQLs</t>
        </is>
      </c>
      <c r="B65" s="8" t="n"/>
      <c r="C65" s="13" t="n">
        <v>370</v>
      </c>
      <c r="D65" s="9" t="n"/>
      <c r="E65" s="9" t="n"/>
      <c r="F65" s="9" t="n"/>
      <c r="G65" s="9" t="n"/>
      <c r="H65" s="9" t="n"/>
      <c r="I65" s="9" t="n"/>
      <c r="J65" s="9" t="n"/>
      <c r="K65" s="9" t="n"/>
      <c r="L65" s="8" t="n"/>
    </row>
    <row r="66">
      <c r="A66" s="7" t="inlineStr">
        <is>
          <t>Mango Leads</t>
        </is>
      </c>
      <c r="B66" s="8" t="n"/>
      <c r="C66" s="13" t="n">
        <v>100</v>
      </c>
      <c r="D66" s="9" t="n"/>
      <c r="E66" s="9" t="n"/>
      <c r="F66" s="9" t="n"/>
      <c r="G66" s="9" t="n"/>
      <c r="H66" s="9" t="n"/>
      <c r="I66" s="9" t="n"/>
      <c r="J66" s="9" t="n"/>
      <c r="K66" s="9" t="n"/>
      <c r="L66" s="8" t="n"/>
    </row>
  </sheetData>
  <mergeCells count="8">
    <mergeCell ref="A10:L10"/>
    <mergeCell ref="A7:L7"/>
    <mergeCell ref="A1:L1"/>
    <mergeCell ref="A5:L5"/>
    <mergeCell ref="A8:L8"/>
    <mergeCell ref="A6:L6"/>
    <mergeCell ref="A9:L9"/>
    <mergeCell ref="A4:L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</cols>
  <sheetData>
    <row r="1">
      <c r="A1" s="16" t="inlineStr">
        <is>
          <t>MM — Scenario Planning (formula-driven)</t>
        </is>
      </c>
    </row>
    <row r="3">
      <c r="A3" s="17" t="inlineStr">
        <is>
          <t>PARAMETERS (edit yellow → all scenarios update)</t>
        </is>
      </c>
    </row>
    <row r="4">
      <c r="A4" s="23" t="inlineStr">
        <is>
          <t>ARR Pilot (€)</t>
        </is>
      </c>
      <c r="C4" s="48" t="n">
        <v>15000</v>
      </c>
    </row>
    <row r="5">
      <c r="A5" s="23" t="inlineStr">
        <is>
          <t>ARR Medium (€)</t>
        </is>
      </c>
      <c r="C5" s="48" t="n">
        <v>50000</v>
      </c>
    </row>
    <row r="6">
      <c r="A6" s="23" t="inlineStr">
        <is>
          <t>ARR Large (€)</t>
        </is>
      </c>
      <c r="C6" s="48" t="n">
        <v>100000</v>
      </c>
    </row>
    <row r="7">
      <c r="A7" s="23" t="inlineStr">
        <is>
          <t>Close rate (blended)</t>
        </is>
      </c>
      <c r="C7" s="49" t="n">
        <v>0.1</v>
      </c>
    </row>
    <row r="8">
      <c r="A8" s="23" t="inlineStr">
        <is>
          <t>BDR meetings/mo cap</t>
        </is>
      </c>
      <c r="C8" s="48" t="n">
        <v>15</v>
      </c>
    </row>
    <row r="9">
      <c r="A9" s="23" t="inlineStr">
        <is>
          <t>SMB BDR free mtgs/mo</t>
        </is>
      </c>
      <c r="C9" s="48" t="n">
        <v>15</v>
      </c>
    </row>
    <row r="10">
      <c r="A10" s="23" t="inlineStr">
        <is>
          <t>AE cost/mo (€)</t>
        </is>
      </c>
      <c r="C10" s="48" t="n">
        <v>6000</v>
      </c>
    </row>
    <row r="11">
      <c r="A11" s="23" t="inlineStr">
        <is>
          <t>BDR cost/mo (€)</t>
        </is>
      </c>
      <c r="C11" s="48" t="n">
        <v>4000</v>
      </c>
    </row>
    <row r="12">
      <c r="A12" s="23" t="inlineStr">
        <is>
          <t>Ramp month 1</t>
        </is>
      </c>
      <c r="C12" s="49" t="n">
        <v>0.5</v>
      </c>
    </row>
    <row r="13">
      <c r="A13" s="23" t="inlineStr">
        <is>
          <t>Ramp month 2</t>
        </is>
      </c>
      <c r="C13" s="49" t="n">
        <v>0.75</v>
      </c>
    </row>
    <row r="14">
      <c r="A14" s="23" t="inlineStr">
        <is>
          <t>Ramp month 3+</t>
        </is>
      </c>
      <c r="C14" s="49" t="n">
        <v>1</v>
      </c>
    </row>
    <row r="15">
      <c r="A15" s="23" t="inlineStr">
        <is>
          <t>Pilot conv → Med</t>
        </is>
      </c>
      <c r="C15" s="49" t="n">
        <v>0.4</v>
      </c>
    </row>
    <row r="16">
      <c r="A16" s="23" t="inlineStr">
        <is>
          <t>Pilot conv → Large</t>
        </is>
      </c>
      <c r="C16" s="49" t="n">
        <v>0.1</v>
      </c>
    </row>
    <row r="17">
      <c r="A17" s="23" t="inlineStr">
        <is>
          <t>Deals/AE/mo: pilots</t>
        </is>
      </c>
      <c r="C17" s="48" t="n">
        <v>2</v>
      </c>
    </row>
    <row r="18">
      <c r="A18" s="23" t="inlineStr">
        <is>
          <t>Deals/AE/mo: medium</t>
        </is>
      </c>
      <c r="C18" s="48" t="n">
        <v>0.5</v>
      </c>
    </row>
    <row r="19">
      <c r="A19" s="23" t="inlineStr">
        <is>
          <t>Deals/AE/mo: large</t>
        </is>
      </c>
      <c r="C19" s="48" t="n">
        <v>0.33</v>
      </c>
    </row>
    <row r="21">
      <c r="A21" s="17" t="inlineStr">
        <is>
          <t>SCENARIO 1: BASELINE</t>
        </is>
      </c>
    </row>
    <row r="22">
      <c r="A22" s="19" t="inlineStr">
        <is>
          <t>Conservative — prove it, then scale</t>
        </is>
      </c>
    </row>
    <row r="23">
      <c r="A23" s="21" t="inlineStr">
        <is>
          <t>Martijn 0.2→0.5(Aug), Mossel 0.2, Victor 0.2→1.0(Jun). 2 new hires (Jul, Oct). BDR to 3. Risk: LOW.</t>
        </is>
      </c>
    </row>
    <row r="25">
      <c r="A25" s="20" t="inlineStr">
        <is>
          <t>HEADCOUNT</t>
        </is>
      </c>
    </row>
    <row r="26">
      <c r="A26" s="22" t="inlineStr"/>
      <c r="B26" s="22" t="inlineStr"/>
      <c r="C26" s="22" t="inlineStr">
        <is>
          <t>Apr</t>
        </is>
      </c>
      <c r="D26" s="22" t="inlineStr">
        <is>
          <t>May</t>
        </is>
      </c>
      <c r="E26" s="22" t="inlineStr">
        <is>
          <t>Jun</t>
        </is>
      </c>
      <c r="F26" s="22" t="inlineStr">
        <is>
          <t>Jul</t>
        </is>
      </c>
      <c r="G26" s="22" t="inlineStr">
        <is>
          <t>Aug</t>
        </is>
      </c>
      <c r="H26" s="22" t="inlineStr">
        <is>
          <t>Sep</t>
        </is>
      </c>
      <c r="I26" s="22" t="inlineStr">
        <is>
          <t>Oct</t>
        </is>
      </c>
      <c r="J26" s="22" t="inlineStr">
        <is>
          <t>Nov</t>
        </is>
      </c>
      <c r="K26" s="22" t="inlineStr">
        <is>
          <t>Dec</t>
        </is>
      </c>
      <c r="L26" s="22" t="inlineStr">
        <is>
          <t>Peak</t>
        </is>
      </c>
    </row>
    <row r="27">
      <c r="A27" s="23" t="inlineStr">
        <is>
          <t>AEs (ramped)</t>
        </is>
      </c>
      <c r="B27" s="24" t="inlineStr">
        <is>
          <t>no ramp</t>
        </is>
      </c>
      <c r="C27" s="25" t="n">
        <v>0.6</v>
      </c>
      <c r="D27" s="25" t="n">
        <v>0.6</v>
      </c>
      <c r="E27" s="25" t="n">
        <v>1.4</v>
      </c>
      <c r="F27" s="25" t="n">
        <v>1.4</v>
      </c>
      <c r="G27" s="25" t="n">
        <v>1.7</v>
      </c>
      <c r="H27" s="25" t="n">
        <v>1.7</v>
      </c>
      <c r="I27" s="25" t="n">
        <v>1.7</v>
      </c>
      <c r="J27" s="25" t="n">
        <v>1.7</v>
      </c>
      <c r="K27" s="25" t="n">
        <v>1.7</v>
      </c>
      <c r="L27" s="28">
        <f>MAX(C27:K27)</f>
        <v/>
      </c>
    </row>
    <row r="28">
      <c r="A28" s="23" t="inlineStr">
        <is>
          <t>AEs (new hires)</t>
        </is>
      </c>
      <c r="B28" s="24" t="inlineStr">
        <is>
          <t>cumulative</t>
        </is>
      </c>
      <c r="C28" s="25" t="n">
        <v>0</v>
      </c>
      <c r="D28" s="25" t="n">
        <v>0</v>
      </c>
      <c r="E28" s="25" t="n">
        <v>0</v>
      </c>
      <c r="F28" s="25" t="n">
        <v>1</v>
      </c>
      <c r="G28" s="25" t="n">
        <v>1</v>
      </c>
      <c r="H28" s="25" t="n">
        <v>1</v>
      </c>
      <c r="I28" s="25" t="n">
        <v>1</v>
      </c>
      <c r="J28" s="25" t="n">
        <v>2</v>
      </c>
      <c r="K28" s="25" t="n">
        <v>2</v>
      </c>
      <c r="L28" s="28">
        <f>MAX(C28:K28)</f>
        <v/>
      </c>
    </row>
    <row r="29">
      <c r="A29" s="24" t="inlineStr">
        <is>
          <t xml:space="preserve">  added this month</t>
        </is>
      </c>
      <c r="C29" s="50">
        <f>MAX(0,C28)</f>
        <v/>
      </c>
      <c r="D29" s="50">
        <f>MAX(0,D28-C28)</f>
        <v/>
      </c>
      <c r="E29" s="50">
        <f>MAX(0,E28-D28)</f>
        <v/>
      </c>
      <c r="F29" s="50">
        <f>MAX(0,F28-E28)</f>
        <v/>
      </c>
      <c r="G29" s="50">
        <f>MAX(0,G28-F28)</f>
        <v/>
      </c>
      <c r="H29" s="50">
        <f>MAX(0,H28-G28)</f>
        <v/>
      </c>
      <c r="I29" s="50">
        <f>MAX(0,I28-H28)</f>
        <v/>
      </c>
      <c r="J29" s="50">
        <f>MAX(0,J28-I28)</f>
        <v/>
      </c>
      <c r="K29" s="50">
        <f>MAX(0,K28-J28)</f>
        <v/>
      </c>
    </row>
    <row r="30">
      <c r="A30" s="23" t="inlineStr">
        <is>
          <t>Effective AEs</t>
        </is>
      </c>
      <c r="B30" s="24" t="inlineStr">
        <is>
          <t>incl. ramp</t>
        </is>
      </c>
      <c r="C30" s="28">
        <f>C27+C29*$C$12</f>
        <v/>
      </c>
      <c r="D30" s="28">
        <f>D27+D29*$C$12+C29*$C$13</f>
        <v/>
      </c>
      <c r="E30" s="28">
        <f>E27+E29*$C$12+D29*$C$13+SUM(C29:C29)*$C$14</f>
        <v/>
      </c>
      <c r="F30" s="28">
        <f>F27+F29*$C$12+E29*$C$13+SUM(C29:D29)*$C$14</f>
        <v/>
      </c>
      <c r="G30" s="28">
        <f>G27+G29*$C$12+F29*$C$13+SUM(C29:E29)*$C$14</f>
        <v/>
      </c>
      <c r="H30" s="28">
        <f>H27+H29*$C$12+G29*$C$13+SUM(C29:F29)*$C$14</f>
        <v/>
      </c>
      <c r="I30" s="28">
        <f>I27+I29*$C$12+H29*$C$13+SUM(C29:G29)*$C$14</f>
        <v/>
      </c>
      <c r="J30" s="28">
        <f>J27+J29*$C$12+I29*$C$13+SUM(C29:H29)*$C$14</f>
        <v/>
      </c>
      <c r="K30" s="28">
        <f>K27+K29*$C$12+J29*$C$13+SUM(C29:I29)*$C$14</f>
        <v/>
      </c>
      <c r="L30" s="28">
        <f>MAX(C30:K30)</f>
        <v/>
      </c>
    </row>
    <row r="31">
      <c r="A31" s="23" t="inlineStr">
        <is>
          <t>BDRs (dedicated)</t>
        </is>
      </c>
      <c r="B31" s="24" t="inlineStr">
        <is>
          <t>FTE</t>
        </is>
      </c>
      <c r="C31" s="25" t="n">
        <v>0.4</v>
      </c>
      <c r="D31" s="25" t="n">
        <v>0.4</v>
      </c>
      <c r="E31" s="25" t="n">
        <v>1</v>
      </c>
      <c r="F31" s="25" t="n">
        <v>1</v>
      </c>
      <c r="G31" s="25" t="n">
        <v>2</v>
      </c>
      <c r="H31" s="25" t="n">
        <v>2</v>
      </c>
      <c r="I31" s="25" t="n">
        <v>3</v>
      </c>
      <c r="J31" s="25" t="n">
        <v>3</v>
      </c>
      <c r="K31" s="25" t="n">
        <v>3</v>
      </c>
      <c r="L31" s="28">
        <f>MAX(C31:K31)</f>
        <v/>
      </c>
    </row>
    <row r="32">
      <c r="A32" s="23" t="inlineStr">
        <is>
          <t>Total headcount</t>
        </is>
      </c>
      <c r="C32" s="28">
        <f>C27+C28+C31</f>
        <v/>
      </c>
      <c r="D32" s="28">
        <f>D27+D28+D31</f>
        <v/>
      </c>
      <c r="E32" s="28">
        <f>E27+E28+E31</f>
        <v/>
      </c>
      <c r="F32" s="28">
        <f>F27+F28+F31</f>
        <v/>
      </c>
      <c r="G32" s="28">
        <f>G27+G28+G31</f>
        <v/>
      </c>
      <c r="H32" s="28">
        <f>H27+H28+H31</f>
        <v/>
      </c>
      <c r="I32" s="28">
        <f>I27+I28+I31</f>
        <v/>
      </c>
      <c r="J32" s="28">
        <f>J27+J28+J31</f>
        <v/>
      </c>
      <c r="K32" s="28">
        <f>K27+K28+K31</f>
        <v/>
      </c>
      <c r="L32" s="28">
        <f>MAX(C32:K32)</f>
        <v/>
      </c>
    </row>
    <row r="33">
      <c r="A33" s="23" t="inlineStr">
        <is>
          <t>Monthly cost</t>
        </is>
      </c>
      <c r="C33" s="28">
        <f>(C27+C28)*$C$10+C31*$C$11</f>
        <v/>
      </c>
      <c r="D33" s="28">
        <f>(D27+D28)*$C$10+D31*$C$11</f>
        <v/>
      </c>
      <c r="E33" s="28">
        <f>(E27+E28)*$C$10+E31*$C$11</f>
        <v/>
      </c>
      <c r="F33" s="28">
        <f>(F27+F28)*$C$10+F31*$C$11</f>
        <v/>
      </c>
      <c r="G33" s="28">
        <f>(G27+G28)*$C$10+G31*$C$11</f>
        <v/>
      </c>
      <c r="H33" s="28">
        <f>(H27+H28)*$C$10+H31*$C$11</f>
        <v/>
      </c>
      <c r="I33" s="28">
        <f>(I27+I28)*$C$10+I31*$C$11</f>
        <v/>
      </c>
      <c r="J33" s="28">
        <f>(J27+J28)*$C$10+J31*$C$11</f>
        <v/>
      </c>
      <c r="K33" s="28">
        <f>(K27+K28)*$C$10+K31*$C$11</f>
        <v/>
      </c>
      <c r="L33" s="27">
        <f>SUM(C33:K33)</f>
        <v/>
      </c>
    </row>
    <row r="35">
      <c r="A35" s="20" t="inlineStr">
        <is>
          <t>DEAL FLOW (edit these)</t>
        </is>
      </c>
    </row>
    <row r="36">
      <c r="A36" s="22" t="inlineStr">
        <is>
          <t>Type</t>
        </is>
      </c>
      <c r="B36" s="22" t="inlineStr"/>
      <c r="C36" s="22" t="inlineStr">
        <is>
          <t>Apr</t>
        </is>
      </c>
      <c r="D36" s="22" t="inlineStr">
        <is>
          <t>May</t>
        </is>
      </c>
      <c r="E36" s="22" t="inlineStr">
        <is>
          <t>Jun</t>
        </is>
      </c>
      <c r="F36" s="22" t="inlineStr">
        <is>
          <t>Jul</t>
        </is>
      </c>
      <c r="G36" s="22" t="inlineStr">
        <is>
          <t>Aug</t>
        </is>
      </c>
      <c r="H36" s="22" t="inlineStr">
        <is>
          <t>Sep</t>
        </is>
      </c>
      <c r="I36" s="22" t="inlineStr">
        <is>
          <t>Oct</t>
        </is>
      </c>
      <c r="J36" s="22" t="inlineStr">
        <is>
          <t>Nov</t>
        </is>
      </c>
      <c r="K36" s="22" t="inlineStr">
        <is>
          <t>Dec</t>
        </is>
      </c>
      <c r="L36" s="22" t="inlineStr">
        <is>
          <t>Total</t>
        </is>
      </c>
    </row>
    <row r="37">
      <c r="A37" s="24" t="inlineStr">
        <is>
          <t xml:space="preserve">  capacity guide</t>
        </is>
      </c>
      <c r="B37" s="24" t="inlineStr">
        <is>
          <t>suggested</t>
        </is>
      </c>
      <c r="C37" s="50">
        <f>ROUND(C30*($C$17+$C$18+$C$19),0)</f>
        <v/>
      </c>
      <c r="D37" s="50">
        <f>ROUND(D30*($C$17+$C$18+$C$19),0)</f>
        <v/>
      </c>
      <c r="E37" s="50">
        <f>ROUND(E30*($C$17+$C$18+$C$19),0)</f>
        <v/>
      </c>
      <c r="F37" s="50">
        <f>ROUND(F30*($C$17+$C$18+$C$19),0)</f>
        <v/>
      </c>
      <c r="G37" s="50">
        <f>ROUND(G30*($C$17+$C$18+$C$19),0)</f>
        <v/>
      </c>
      <c r="H37" s="50">
        <f>ROUND(H30*($C$17+$C$18+$C$19),0)</f>
        <v/>
      </c>
      <c r="I37" s="50">
        <f>ROUND(I30*($C$17+$C$18+$C$19),0)</f>
        <v/>
      </c>
      <c r="J37" s="50">
        <f>ROUND(J30*($C$17+$C$18+$C$19),0)</f>
        <v/>
      </c>
      <c r="K37" s="50">
        <f>ROUND(K30*($C$17+$C$18+$C$19),0)</f>
        <v/>
      </c>
      <c r="L37" s="50">
        <f>SUM(C37:K37)</f>
        <v/>
      </c>
    </row>
    <row r="38">
      <c r="A38" s="23" t="inlineStr">
        <is>
          <t>Pilots</t>
        </is>
      </c>
      <c r="B38" s="24" t="inlineStr">
        <is>
          <t>€15K ARR</t>
        </is>
      </c>
      <c r="C38" s="25" t="n">
        <v>1</v>
      </c>
      <c r="D38" s="25" t="n">
        <v>1</v>
      </c>
      <c r="E38" s="25" t="n">
        <v>3</v>
      </c>
      <c r="F38" s="25" t="n">
        <v>3</v>
      </c>
      <c r="G38" s="25" t="n">
        <v>3</v>
      </c>
      <c r="H38" s="25" t="n">
        <v>4</v>
      </c>
      <c r="I38" s="25" t="n">
        <v>4</v>
      </c>
      <c r="J38" s="25" t="n">
        <v>5</v>
      </c>
      <c r="K38" s="25" t="n">
        <v>5</v>
      </c>
      <c r="L38" s="28">
        <f>SUM(C38:K38)</f>
        <v/>
      </c>
    </row>
    <row r="39">
      <c r="A39" s="23" t="inlineStr">
        <is>
          <t>Medium</t>
        </is>
      </c>
      <c r="B39" s="24" t="inlineStr">
        <is>
          <t>€50K ARR</t>
        </is>
      </c>
      <c r="C39" s="25" t="n">
        <v>0</v>
      </c>
      <c r="D39" s="25" t="n">
        <v>0</v>
      </c>
      <c r="E39" s="25" t="n">
        <v>1</v>
      </c>
      <c r="F39" s="25" t="n">
        <v>1</v>
      </c>
      <c r="G39" s="25" t="n">
        <v>1</v>
      </c>
      <c r="H39" s="25" t="n">
        <v>1</v>
      </c>
      <c r="I39" s="25" t="n">
        <v>1</v>
      </c>
      <c r="J39" s="25" t="n">
        <v>2</v>
      </c>
      <c r="K39" s="25" t="n">
        <v>2</v>
      </c>
      <c r="L39" s="28">
        <f>SUM(C39:K39)</f>
        <v/>
      </c>
    </row>
    <row r="40">
      <c r="A40" s="23" t="inlineStr">
        <is>
          <t>Large</t>
        </is>
      </c>
      <c r="B40" s="24" t="inlineStr">
        <is>
          <t>€100K ARR</t>
        </is>
      </c>
      <c r="C40" s="25" t="n">
        <v>0</v>
      </c>
      <c r="D40" s="25" t="n">
        <v>0</v>
      </c>
      <c r="E40" s="25" t="n">
        <v>0</v>
      </c>
      <c r="F40" s="25" t="n">
        <v>0</v>
      </c>
      <c r="G40" s="25" t="n">
        <v>1</v>
      </c>
      <c r="H40" s="25" t="n">
        <v>1</v>
      </c>
      <c r="I40" s="25" t="n">
        <v>1</v>
      </c>
      <c r="J40" s="25" t="n">
        <v>1</v>
      </c>
      <c r="K40" s="25" t="n">
        <v>1</v>
      </c>
      <c r="L40" s="28">
        <f>SUM(C40:K40)</f>
        <v/>
      </c>
    </row>
    <row r="41">
      <c r="A41" s="23" t="inlineStr">
        <is>
          <t>Total deals</t>
        </is>
      </c>
      <c r="C41" s="27">
        <f>C38+C39+C40</f>
        <v/>
      </c>
      <c r="D41" s="27">
        <f>D38+D39+D40</f>
        <v/>
      </c>
      <c r="E41" s="27">
        <f>E38+E39+E40</f>
        <v/>
      </c>
      <c r="F41" s="27">
        <f>F38+F39+F40</f>
        <v/>
      </c>
      <c r="G41" s="27">
        <f>G38+G39+G40</f>
        <v/>
      </c>
      <c r="H41" s="27">
        <f>H38+H39+H40</f>
        <v/>
      </c>
      <c r="I41" s="27">
        <f>I38+I39+I40</f>
        <v/>
      </c>
      <c r="J41" s="27">
        <f>J38+J39+J40</f>
        <v/>
      </c>
      <c r="K41" s="27">
        <f>K38+K39+K40</f>
        <v/>
      </c>
      <c r="L41" s="27">
        <f>SUM(C41:K41)</f>
        <v/>
      </c>
    </row>
    <row r="43">
      <c r="A43" s="20" t="inlineStr">
        <is>
          <t>BDR FUNNEL</t>
        </is>
      </c>
    </row>
    <row r="44">
      <c r="A44" s="22" t="inlineStr">
        <is>
          <t>Metric</t>
        </is>
      </c>
      <c r="B44" s="22" t="inlineStr"/>
      <c r="C44" s="22" t="inlineStr">
        <is>
          <t>Apr</t>
        </is>
      </c>
      <c r="D44" s="22" t="inlineStr">
        <is>
          <t>May</t>
        </is>
      </c>
      <c r="E44" s="22" t="inlineStr">
        <is>
          <t>Jun</t>
        </is>
      </c>
      <c r="F44" s="22" t="inlineStr">
        <is>
          <t>Jul</t>
        </is>
      </c>
      <c r="G44" s="22" t="inlineStr">
        <is>
          <t>Aug</t>
        </is>
      </c>
      <c r="H44" s="22" t="inlineStr">
        <is>
          <t>Sep</t>
        </is>
      </c>
      <c r="I44" s="22" t="inlineStr">
        <is>
          <t>Oct</t>
        </is>
      </c>
      <c r="J44" s="22" t="inlineStr">
        <is>
          <t>Nov</t>
        </is>
      </c>
      <c r="K44" s="22" t="inlineStr">
        <is>
          <t>Dec</t>
        </is>
      </c>
      <c r="L44" s="22" t="inlineStr">
        <is>
          <t>Total</t>
        </is>
      </c>
    </row>
    <row r="45">
      <c r="A45" s="23" t="inlineStr">
        <is>
          <t>Meetings needed /mo</t>
        </is>
      </c>
      <c r="B45" s="24" t="inlineStr">
        <is>
          <t>deals ÷ close %</t>
        </is>
      </c>
      <c r="C45" s="28">
        <f>IF($C$7&gt;0,CEILING(C41/$C$7,1),0)</f>
        <v/>
      </c>
      <c r="D45" s="28">
        <f>IF($C$7&gt;0,CEILING(D41/$C$7,1),0)</f>
        <v/>
      </c>
      <c r="E45" s="28">
        <f>IF($C$7&gt;0,CEILING(E41/$C$7,1),0)</f>
        <v/>
      </c>
      <c r="F45" s="28">
        <f>IF($C$7&gt;0,CEILING(F41/$C$7,1),0)</f>
        <v/>
      </c>
      <c r="G45" s="28">
        <f>IF($C$7&gt;0,CEILING(G41/$C$7,1),0)</f>
        <v/>
      </c>
      <c r="H45" s="28">
        <f>IF($C$7&gt;0,CEILING(H41/$C$7,1),0)</f>
        <v/>
      </c>
      <c r="I45" s="28">
        <f>IF($C$7&gt;0,CEILING(I41/$C$7,1),0)</f>
        <v/>
      </c>
      <c r="J45" s="28">
        <f>IF($C$7&gt;0,CEILING(J41/$C$7,1),0)</f>
        <v/>
      </c>
      <c r="K45" s="28">
        <f>IF($C$7&gt;0,CEILING(K41/$C$7,1),0)</f>
        <v/>
      </c>
      <c r="L45" s="27">
        <f>SUM(C45:K45)</f>
        <v/>
      </c>
    </row>
    <row r="46">
      <c r="A46" s="23" t="inlineStr">
        <is>
          <t>From SMB BDR (free)</t>
        </is>
      </c>
      <c r="C46" s="51">
        <f>MIN($C$9,C45)</f>
        <v/>
      </c>
      <c r="D46" s="51">
        <f>MIN($C$9,D45)</f>
        <v/>
      </c>
      <c r="E46" s="51">
        <f>MIN($C$9,E45)</f>
        <v/>
      </c>
      <c r="F46" s="51">
        <f>MIN($C$9,F45)</f>
        <v/>
      </c>
      <c r="G46" s="51">
        <f>MIN($C$9,G45)</f>
        <v/>
      </c>
      <c r="H46" s="51">
        <f>MIN($C$9,H45)</f>
        <v/>
      </c>
      <c r="I46" s="51">
        <f>MIN($C$9,I45)</f>
        <v/>
      </c>
      <c r="J46" s="51">
        <f>MIN($C$9,J45)</f>
        <v/>
      </c>
      <c r="K46" s="51">
        <f>MIN($C$9,K45)</f>
        <v/>
      </c>
      <c r="L46" s="51">
        <f>SUM(C46:K46)</f>
        <v/>
      </c>
    </row>
    <row r="47">
      <c r="A47" s="23" t="inlineStr">
        <is>
          <t>From dedicated BDRs</t>
        </is>
      </c>
      <c r="B47" s="24" t="inlineStr">
        <is>
          <t>needed /mo</t>
        </is>
      </c>
      <c r="C47" s="28">
        <f>MAX(0,C45-$C$9)</f>
        <v/>
      </c>
      <c r="D47" s="28">
        <f>MAX(0,D45-$C$9)</f>
        <v/>
      </c>
      <c r="E47" s="28">
        <f>MAX(0,E45-$C$9)</f>
        <v/>
      </c>
      <c r="F47" s="28">
        <f>MAX(0,F45-$C$9)</f>
        <v/>
      </c>
      <c r="G47" s="28">
        <f>MAX(0,G45-$C$9)</f>
        <v/>
      </c>
      <c r="H47" s="28">
        <f>MAX(0,H45-$C$9)</f>
        <v/>
      </c>
      <c r="I47" s="28">
        <f>MAX(0,I45-$C$9)</f>
        <v/>
      </c>
      <c r="J47" s="28">
        <f>MAX(0,J45-$C$9)</f>
        <v/>
      </c>
      <c r="K47" s="28">
        <f>MAX(0,K45-$C$9)</f>
        <v/>
      </c>
      <c r="L47" s="27">
        <f>SUM(C47:K47)</f>
        <v/>
      </c>
    </row>
    <row r="48">
      <c r="A48" s="23" t="inlineStr">
        <is>
          <t>BDRs needed (peak)</t>
        </is>
      </c>
      <c r="C48" s="27">
        <f>IF($C$8&gt;0,CEILING(MAX(C47:K47)/$C$8,1),0)</f>
        <v/>
      </c>
    </row>
    <row r="50">
      <c r="A50" s="20" t="inlineStr">
        <is>
          <t>ARR WATERFALL</t>
        </is>
      </c>
    </row>
    <row r="51">
      <c r="A51" s="22" t="inlineStr">
        <is>
          <t>Source</t>
        </is>
      </c>
      <c r="B51" s="22" t="inlineStr"/>
      <c r="C51" s="22" t="inlineStr">
        <is>
          <t>Apr</t>
        </is>
      </c>
      <c r="D51" s="22" t="inlineStr">
        <is>
          <t>May</t>
        </is>
      </c>
      <c r="E51" s="22" t="inlineStr">
        <is>
          <t>Jun</t>
        </is>
      </c>
      <c r="F51" s="22" t="inlineStr">
        <is>
          <t>Jul</t>
        </is>
      </c>
      <c r="G51" s="22" t="inlineStr">
        <is>
          <t>Aug</t>
        </is>
      </c>
      <c r="H51" s="22" t="inlineStr">
        <is>
          <t>Sep</t>
        </is>
      </c>
      <c r="I51" s="22" t="inlineStr">
        <is>
          <t>Oct</t>
        </is>
      </c>
      <c r="J51" s="22" t="inlineStr">
        <is>
          <t>Nov</t>
        </is>
      </c>
      <c r="K51" s="22" t="inlineStr">
        <is>
          <t>Dec</t>
        </is>
      </c>
      <c r="L51" s="22" t="inlineStr">
        <is>
          <t>Total</t>
        </is>
      </c>
    </row>
    <row r="52">
      <c r="A52" s="23" t="inlineStr">
        <is>
          <t>New deal ARR /mo</t>
        </is>
      </c>
      <c r="C52" s="52">
        <f>C38*$C$4+C39*$C$5+C40*$C$6</f>
        <v/>
      </c>
      <c r="D52" s="52">
        <f>D38*$C$4+D39*$C$5+D40*$C$6</f>
        <v/>
      </c>
      <c r="E52" s="52">
        <f>E38*$C$4+E39*$C$5+E40*$C$6</f>
        <v/>
      </c>
      <c r="F52" s="52">
        <f>F38*$C$4+F39*$C$5+F40*$C$6</f>
        <v/>
      </c>
      <c r="G52" s="52">
        <f>G38*$C$4+G39*$C$5+G40*$C$6</f>
        <v/>
      </c>
      <c r="H52" s="52">
        <f>H38*$C$4+H39*$C$5+H40*$C$6</f>
        <v/>
      </c>
      <c r="I52" s="52">
        <f>I38*$C$4+I39*$C$5+I40*$C$6</f>
        <v/>
      </c>
      <c r="J52" s="52">
        <f>J38*$C$4+J39*$C$5+J40*$C$6</f>
        <v/>
      </c>
      <c r="K52" s="52">
        <f>K38*$C$4+K39*$C$5+K40*$C$6</f>
        <v/>
      </c>
      <c r="L52" s="27">
        <f>SUM(C52:K52)</f>
        <v/>
      </c>
    </row>
    <row r="53">
      <c r="A53" s="23" t="inlineStr">
        <is>
          <t>Cum. new deal ARR</t>
        </is>
      </c>
      <c r="B53" s="24">
        <f> €2M target</f>
        <v/>
      </c>
      <c r="C53" s="27">
        <f>C52</f>
        <v/>
      </c>
      <c r="D53" s="27">
        <f>C53+D52</f>
        <v/>
      </c>
      <c r="E53" s="27">
        <f>D53+E52</f>
        <v/>
      </c>
      <c r="F53" s="27">
        <f>E53+F52</f>
        <v/>
      </c>
      <c r="G53" s="27">
        <f>F53+G52</f>
        <v/>
      </c>
      <c r="H53" s="27">
        <f>G53+H52</f>
        <v/>
      </c>
      <c r="I53" s="27">
        <f>H53+I52</f>
        <v/>
      </c>
      <c r="J53" s="27">
        <f>I53+J52</f>
        <v/>
      </c>
      <c r="K53" s="27">
        <f>J53+K52</f>
        <v/>
      </c>
      <c r="L53" s="27">
        <f>K53</f>
        <v/>
      </c>
    </row>
    <row r="54">
      <c r="A54" s="23" t="inlineStr">
        <is>
          <t>Expansion /mo</t>
        </is>
      </c>
      <c r="B54" s="24" t="inlineStr">
        <is>
          <t>pilot conv. upside</t>
        </is>
      </c>
      <c r="C54" s="53" t="n">
        <v>0</v>
      </c>
      <c r="D54" s="53" t="n">
        <v>0</v>
      </c>
      <c r="E54" s="53" t="n">
        <v>0</v>
      </c>
      <c r="F54" s="53" t="n">
        <v>0</v>
      </c>
      <c r="G54" s="53" t="n">
        <v>0</v>
      </c>
      <c r="H54" s="54">
        <f>ROUND(C38*$C$15,0)*($C$5-$C$4)+ROUND(C38*$C$16,0)*($C$6-$C$4)</f>
        <v/>
      </c>
      <c r="I54" s="54">
        <f>ROUND(D38*$C$15,0)*($C$5-$C$4)+ROUND(D38*$C$16,0)*($C$6-$C$4)</f>
        <v/>
      </c>
      <c r="J54" s="54">
        <f>ROUND(E38*$C$15,0)*($C$5-$C$4)+ROUND(E38*$C$16,0)*($C$6-$C$4)</f>
        <v/>
      </c>
      <c r="K54" s="54">
        <f>ROUND(F38*$C$15,0)*($C$5-$C$4)+ROUND(F38*$C$16,0)*($C$6-$C$4)</f>
        <v/>
      </c>
      <c r="L54" s="38">
        <f>SUM(C54:K54)</f>
        <v/>
      </c>
    </row>
    <row r="55">
      <c r="A55" s="23" t="inlineStr">
        <is>
          <t>Total ARR</t>
        </is>
      </c>
      <c r="B55" s="24" t="inlineStr">
        <is>
          <t>incl. expansion</t>
        </is>
      </c>
      <c r="C55" s="35">
        <f>C52+C54</f>
        <v/>
      </c>
      <c r="D55" s="35">
        <f>C55+D52+D54</f>
        <v/>
      </c>
      <c r="E55" s="35">
        <f>D55+E52+E54</f>
        <v/>
      </c>
      <c r="F55" s="35">
        <f>E55+F52+F54</f>
        <v/>
      </c>
      <c r="G55" s="35">
        <f>F55+G52+G54</f>
        <v/>
      </c>
      <c r="H55" s="35">
        <f>G55+H52+H54</f>
        <v/>
      </c>
      <c r="I55" s="35">
        <f>H55+I52+I54</f>
        <v/>
      </c>
      <c r="J55" s="35">
        <f>I55+J52+J54</f>
        <v/>
      </c>
      <c r="K55" s="35">
        <f>J55+K52+K54</f>
        <v/>
      </c>
      <c r="L55" s="35">
        <f>K55</f>
        <v/>
      </c>
    </row>
    <row r="58">
      <c r="A58" s="17" t="inlineStr">
        <is>
          <t>SCENARIO 2: PUSH</t>
        </is>
      </c>
    </row>
    <row r="59">
      <c r="A59" s="19" t="inlineStr">
        <is>
          <t>Hit €2M — staggered hiring + May whale</t>
        </is>
      </c>
    </row>
    <row r="60">
      <c r="A60" s="21" t="inlineStr">
        <is>
          <t>Victor FT Jun. New AEs: Jun/Aug/Oct. May large deal. SMB→MM switch optional (Aug). Risk: MEDIUM.</t>
        </is>
      </c>
    </row>
    <row r="62">
      <c r="A62" s="20" t="inlineStr">
        <is>
          <t>HEADCOUNT</t>
        </is>
      </c>
    </row>
    <row r="63">
      <c r="A63" s="22" t="inlineStr"/>
      <c r="B63" s="22" t="inlineStr"/>
      <c r="C63" s="22" t="inlineStr">
        <is>
          <t>Apr</t>
        </is>
      </c>
      <c r="D63" s="22" t="inlineStr">
        <is>
          <t>May</t>
        </is>
      </c>
      <c r="E63" s="22" t="inlineStr">
        <is>
          <t>Jun</t>
        </is>
      </c>
      <c r="F63" s="22" t="inlineStr">
        <is>
          <t>Jul</t>
        </is>
      </c>
      <c r="G63" s="22" t="inlineStr">
        <is>
          <t>Aug</t>
        </is>
      </c>
      <c r="H63" s="22" t="inlineStr">
        <is>
          <t>Sep</t>
        </is>
      </c>
      <c r="I63" s="22" t="inlineStr">
        <is>
          <t>Oct</t>
        </is>
      </c>
      <c r="J63" s="22" t="inlineStr">
        <is>
          <t>Nov</t>
        </is>
      </c>
      <c r="K63" s="22" t="inlineStr">
        <is>
          <t>Dec</t>
        </is>
      </c>
      <c r="L63" s="22" t="inlineStr">
        <is>
          <t>Peak</t>
        </is>
      </c>
    </row>
    <row r="64">
      <c r="A64" s="23" t="inlineStr">
        <is>
          <t>AEs (ramped)</t>
        </is>
      </c>
      <c r="B64" s="24" t="inlineStr">
        <is>
          <t>no ramp</t>
        </is>
      </c>
      <c r="C64" s="25" t="n">
        <v>0.6</v>
      </c>
      <c r="D64" s="25" t="n">
        <v>0.6</v>
      </c>
      <c r="E64" s="25" t="n">
        <v>1.4</v>
      </c>
      <c r="F64" s="25" t="n">
        <v>1.4</v>
      </c>
      <c r="G64" s="25" t="n">
        <v>1.7</v>
      </c>
      <c r="H64" s="25" t="n">
        <v>1.7</v>
      </c>
      <c r="I64" s="25" t="n">
        <v>1.7</v>
      </c>
      <c r="J64" s="25" t="n">
        <v>1.7</v>
      </c>
      <c r="K64" s="25" t="n">
        <v>1.7</v>
      </c>
      <c r="L64" s="28">
        <f>MAX(C64:K64)</f>
        <v/>
      </c>
    </row>
    <row r="65">
      <c r="A65" s="23" t="inlineStr">
        <is>
          <t>AEs (new hires)</t>
        </is>
      </c>
      <c r="B65" s="24" t="inlineStr">
        <is>
          <t>cumulative</t>
        </is>
      </c>
      <c r="C65" s="25" t="n">
        <v>0</v>
      </c>
      <c r="D65" s="25" t="n">
        <v>0</v>
      </c>
      <c r="E65" s="25" t="n">
        <v>1</v>
      </c>
      <c r="F65" s="25" t="n">
        <v>1</v>
      </c>
      <c r="G65" s="25" t="n">
        <v>2</v>
      </c>
      <c r="H65" s="25" t="n">
        <v>2</v>
      </c>
      <c r="I65" s="25" t="n">
        <v>2</v>
      </c>
      <c r="J65" s="25" t="n">
        <v>3</v>
      </c>
      <c r="K65" s="25" t="n">
        <v>3</v>
      </c>
      <c r="L65" s="28">
        <f>MAX(C65:K65)</f>
        <v/>
      </c>
    </row>
    <row r="66">
      <c r="A66" s="24" t="inlineStr">
        <is>
          <t xml:space="preserve">  added this month</t>
        </is>
      </c>
      <c r="C66" s="50">
        <f>MAX(0,C65)</f>
        <v/>
      </c>
      <c r="D66" s="50">
        <f>MAX(0,D65-C65)</f>
        <v/>
      </c>
      <c r="E66" s="50">
        <f>MAX(0,E65-D65)</f>
        <v/>
      </c>
      <c r="F66" s="50">
        <f>MAX(0,F65-E65)</f>
        <v/>
      </c>
      <c r="G66" s="50">
        <f>MAX(0,G65-F65)</f>
        <v/>
      </c>
      <c r="H66" s="50">
        <f>MAX(0,H65-G65)</f>
        <v/>
      </c>
      <c r="I66" s="50">
        <f>MAX(0,I65-H65)</f>
        <v/>
      </c>
      <c r="J66" s="50">
        <f>MAX(0,J65-I65)</f>
        <v/>
      </c>
      <c r="K66" s="50">
        <f>MAX(0,K65-J65)</f>
        <v/>
      </c>
    </row>
    <row r="67">
      <c r="A67" s="23" t="inlineStr">
        <is>
          <t>Effective AEs</t>
        </is>
      </c>
      <c r="B67" s="24" t="inlineStr">
        <is>
          <t>incl. ramp</t>
        </is>
      </c>
      <c r="C67" s="28">
        <f>C64+C66*$C$12</f>
        <v/>
      </c>
      <c r="D67" s="28">
        <f>D64+D66*$C$12+C66*$C$13</f>
        <v/>
      </c>
      <c r="E67" s="28">
        <f>E64+E66*$C$12+D66*$C$13+SUM(C66:C66)*$C$14</f>
        <v/>
      </c>
      <c r="F67" s="28">
        <f>F64+F66*$C$12+E66*$C$13+SUM(C66:D66)*$C$14</f>
        <v/>
      </c>
      <c r="G67" s="28">
        <f>G64+G66*$C$12+F66*$C$13+SUM(C66:E66)*$C$14</f>
        <v/>
      </c>
      <c r="H67" s="28">
        <f>H64+H66*$C$12+G66*$C$13+SUM(C66:F66)*$C$14</f>
        <v/>
      </c>
      <c r="I67" s="28">
        <f>I64+I66*$C$12+H66*$C$13+SUM(C66:G66)*$C$14</f>
        <v/>
      </c>
      <c r="J67" s="28">
        <f>J64+J66*$C$12+I66*$C$13+SUM(C66:H66)*$C$14</f>
        <v/>
      </c>
      <c r="K67" s="28">
        <f>K64+K66*$C$12+J66*$C$13+SUM(C66:I66)*$C$14</f>
        <v/>
      </c>
      <c r="L67" s="28">
        <f>MAX(C67:K67)</f>
        <v/>
      </c>
    </row>
    <row r="68">
      <c r="A68" s="23" t="inlineStr">
        <is>
          <t>BDRs (dedicated)</t>
        </is>
      </c>
      <c r="B68" s="24" t="inlineStr">
        <is>
          <t>FTE</t>
        </is>
      </c>
      <c r="C68" s="25" t="n">
        <v>0.4</v>
      </c>
      <c r="D68" s="25" t="n">
        <v>1</v>
      </c>
      <c r="E68" s="25" t="n">
        <v>2</v>
      </c>
      <c r="F68" s="25" t="n">
        <v>3</v>
      </c>
      <c r="G68" s="25" t="n">
        <v>4</v>
      </c>
      <c r="H68" s="25" t="n">
        <v>4</v>
      </c>
      <c r="I68" s="25" t="n">
        <v>5</v>
      </c>
      <c r="J68" s="25" t="n">
        <v>5</v>
      </c>
      <c r="K68" s="25" t="n">
        <v>5</v>
      </c>
      <c r="L68" s="28">
        <f>MAX(C68:K68)</f>
        <v/>
      </c>
    </row>
    <row r="69">
      <c r="A69" s="23" t="inlineStr">
        <is>
          <t>Total headcount</t>
        </is>
      </c>
      <c r="C69" s="28">
        <f>C64+C65+C68</f>
        <v/>
      </c>
      <c r="D69" s="28">
        <f>D64+D65+D68</f>
        <v/>
      </c>
      <c r="E69" s="28">
        <f>E64+E65+E68</f>
        <v/>
      </c>
      <c r="F69" s="28">
        <f>F64+F65+F68</f>
        <v/>
      </c>
      <c r="G69" s="28">
        <f>G64+G65+G68</f>
        <v/>
      </c>
      <c r="H69" s="28">
        <f>H64+H65+H68</f>
        <v/>
      </c>
      <c r="I69" s="28">
        <f>I64+I65+I68</f>
        <v/>
      </c>
      <c r="J69" s="28">
        <f>J64+J65+J68</f>
        <v/>
      </c>
      <c r="K69" s="28">
        <f>K64+K65+K68</f>
        <v/>
      </c>
      <c r="L69" s="28">
        <f>MAX(C69:K69)</f>
        <v/>
      </c>
    </row>
    <row r="70">
      <c r="A70" s="23" t="inlineStr">
        <is>
          <t>Monthly cost</t>
        </is>
      </c>
      <c r="C70" s="28">
        <f>(C64+C65)*$C$10+C68*$C$11</f>
        <v/>
      </c>
      <c r="D70" s="28">
        <f>(D64+D65)*$C$10+D68*$C$11</f>
        <v/>
      </c>
      <c r="E70" s="28">
        <f>(E64+E65)*$C$10+E68*$C$11</f>
        <v/>
      </c>
      <c r="F70" s="28">
        <f>(F64+F65)*$C$10+F68*$C$11</f>
        <v/>
      </c>
      <c r="G70" s="28">
        <f>(G64+G65)*$C$10+G68*$C$11</f>
        <v/>
      </c>
      <c r="H70" s="28">
        <f>(H64+H65)*$C$10+H68*$C$11</f>
        <v/>
      </c>
      <c r="I70" s="28">
        <f>(I64+I65)*$C$10+I68*$C$11</f>
        <v/>
      </c>
      <c r="J70" s="28">
        <f>(J64+J65)*$C$10+J68*$C$11</f>
        <v/>
      </c>
      <c r="K70" s="28">
        <f>(K64+K65)*$C$10+K68*$C$11</f>
        <v/>
      </c>
      <c r="L70" s="27">
        <f>SUM(C70:K70)</f>
        <v/>
      </c>
    </row>
    <row r="72">
      <c r="A72" s="20" t="inlineStr">
        <is>
          <t>DEAL FLOW (edit these)</t>
        </is>
      </c>
    </row>
    <row r="73">
      <c r="A73" s="22" t="inlineStr">
        <is>
          <t>Type</t>
        </is>
      </c>
      <c r="B73" s="22" t="inlineStr"/>
      <c r="C73" s="22" t="inlineStr">
        <is>
          <t>Apr</t>
        </is>
      </c>
      <c r="D73" s="22" t="inlineStr">
        <is>
          <t>May</t>
        </is>
      </c>
      <c r="E73" s="22" t="inlineStr">
        <is>
          <t>Jun</t>
        </is>
      </c>
      <c r="F73" s="22" t="inlineStr">
        <is>
          <t>Jul</t>
        </is>
      </c>
      <c r="G73" s="22" t="inlineStr">
        <is>
          <t>Aug</t>
        </is>
      </c>
      <c r="H73" s="22" t="inlineStr">
        <is>
          <t>Sep</t>
        </is>
      </c>
      <c r="I73" s="22" t="inlineStr">
        <is>
          <t>Oct</t>
        </is>
      </c>
      <c r="J73" s="22" t="inlineStr">
        <is>
          <t>Nov</t>
        </is>
      </c>
      <c r="K73" s="22" t="inlineStr">
        <is>
          <t>Dec</t>
        </is>
      </c>
      <c r="L73" s="22" t="inlineStr">
        <is>
          <t>Total</t>
        </is>
      </c>
    </row>
    <row r="74">
      <c r="A74" s="24" t="inlineStr">
        <is>
          <t xml:space="preserve">  capacity guide</t>
        </is>
      </c>
      <c r="B74" s="24" t="inlineStr">
        <is>
          <t>suggested</t>
        </is>
      </c>
      <c r="C74" s="50">
        <f>ROUND(C67*($C$17+$C$18+$C$19),0)</f>
        <v/>
      </c>
      <c r="D74" s="50">
        <f>ROUND(D67*($C$17+$C$18+$C$19),0)</f>
        <v/>
      </c>
      <c r="E74" s="50">
        <f>ROUND(E67*($C$17+$C$18+$C$19),0)</f>
        <v/>
      </c>
      <c r="F74" s="50">
        <f>ROUND(F67*($C$17+$C$18+$C$19),0)</f>
        <v/>
      </c>
      <c r="G74" s="50">
        <f>ROUND(G67*($C$17+$C$18+$C$19),0)</f>
        <v/>
      </c>
      <c r="H74" s="50">
        <f>ROUND(H67*($C$17+$C$18+$C$19),0)</f>
        <v/>
      </c>
      <c r="I74" s="50">
        <f>ROUND(I67*($C$17+$C$18+$C$19),0)</f>
        <v/>
      </c>
      <c r="J74" s="50">
        <f>ROUND(J67*($C$17+$C$18+$C$19),0)</f>
        <v/>
      </c>
      <c r="K74" s="50">
        <f>ROUND(K67*($C$17+$C$18+$C$19),0)</f>
        <v/>
      </c>
      <c r="L74" s="50">
        <f>SUM(C74:K74)</f>
        <v/>
      </c>
    </row>
    <row r="75">
      <c r="A75" s="23" t="inlineStr">
        <is>
          <t>Pilots</t>
        </is>
      </c>
      <c r="B75" s="24" t="inlineStr">
        <is>
          <t>€15K ARR</t>
        </is>
      </c>
      <c r="C75" s="25" t="n">
        <v>1</v>
      </c>
      <c r="D75" s="25" t="n">
        <v>1</v>
      </c>
      <c r="E75" s="25" t="n">
        <v>3</v>
      </c>
      <c r="F75" s="25" t="n">
        <v>3</v>
      </c>
      <c r="G75" s="25" t="n">
        <v>5</v>
      </c>
      <c r="H75" s="25" t="n">
        <v>5</v>
      </c>
      <c r="I75" s="25" t="n">
        <v>5</v>
      </c>
      <c r="J75" s="25" t="n">
        <v>6</v>
      </c>
      <c r="K75" s="25" t="n">
        <v>7</v>
      </c>
      <c r="L75" s="28">
        <f>SUM(C75:K75)</f>
        <v/>
      </c>
    </row>
    <row r="76">
      <c r="A76" s="23" t="inlineStr">
        <is>
          <t>Medium</t>
        </is>
      </c>
      <c r="B76" s="24" t="inlineStr">
        <is>
          <t>€50K ARR</t>
        </is>
      </c>
      <c r="C76" s="25" t="n">
        <v>0</v>
      </c>
      <c r="D76" s="25" t="n">
        <v>0</v>
      </c>
      <c r="E76" s="25" t="n">
        <v>1</v>
      </c>
      <c r="F76" s="25" t="n">
        <v>1</v>
      </c>
      <c r="G76" s="25" t="n">
        <v>1</v>
      </c>
      <c r="H76" s="25" t="n">
        <v>2</v>
      </c>
      <c r="I76" s="25" t="n">
        <v>2</v>
      </c>
      <c r="J76" s="25" t="n">
        <v>2</v>
      </c>
      <c r="K76" s="25" t="n">
        <v>2</v>
      </c>
      <c r="L76" s="28">
        <f>SUM(C76:K76)</f>
        <v/>
      </c>
    </row>
    <row r="77">
      <c r="A77" s="23" t="inlineStr">
        <is>
          <t>Large</t>
        </is>
      </c>
      <c r="B77" s="24" t="inlineStr">
        <is>
          <t>€100K ARR</t>
        </is>
      </c>
      <c r="C77" s="25" t="n">
        <v>0</v>
      </c>
      <c r="D77" s="25" t="n">
        <v>1</v>
      </c>
      <c r="E77" s="25" t="n">
        <v>1</v>
      </c>
      <c r="F77" s="25" t="n">
        <v>1</v>
      </c>
      <c r="G77" s="25" t="n">
        <v>1</v>
      </c>
      <c r="H77" s="25" t="n">
        <v>1</v>
      </c>
      <c r="I77" s="25" t="n">
        <v>1</v>
      </c>
      <c r="J77" s="25" t="n">
        <v>1</v>
      </c>
      <c r="K77" s="25" t="n">
        <v>1</v>
      </c>
      <c r="L77" s="28">
        <f>SUM(C77:K77)</f>
        <v/>
      </c>
    </row>
    <row r="78">
      <c r="A78" s="23" t="inlineStr">
        <is>
          <t>Total deals</t>
        </is>
      </c>
      <c r="C78" s="27">
        <f>C75+C76+C77</f>
        <v/>
      </c>
      <c r="D78" s="27">
        <f>D75+D76+D77</f>
        <v/>
      </c>
      <c r="E78" s="27">
        <f>E75+E76+E77</f>
        <v/>
      </c>
      <c r="F78" s="27">
        <f>F75+F76+F77</f>
        <v/>
      </c>
      <c r="G78" s="27">
        <f>G75+G76+G77</f>
        <v/>
      </c>
      <c r="H78" s="27">
        <f>H75+H76+H77</f>
        <v/>
      </c>
      <c r="I78" s="27">
        <f>I75+I76+I77</f>
        <v/>
      </c>
      <c r="J78" s="27">
        <f>J75+J76+J77</f>
        <v/>
      </c>
      <c r="K78" s="27">
        <f>K75+K76+K77</f>
        <v/>
      </c>
      <c r="L78" s="27">
        <f>SUM(C78:K78)</f>
        <v/>
      </c>
    </row>
    <row r="80">
      <c r="A80" s="20" t="inlineStr">
        <is>
          <t>BDR FUNNEL</t>
        </is>
      </c>
    </row>
    <row r="81">
      <c r="A81" s="22" t="inlineStr">
        <is>
          <t>Metric</t>
        </is>
      </c>
      <c r="B81" s="22" t="inlineStr"/>
      <c r="C81" s="22" t="inlineStr">
        <is>
          <t>Apr</t>
        </is>
      </c>
      <c r="D81" s="22" t="inlineStr">
        <is>
          <t>May</t>
        </is>
      </c>
      <c r="E81" s="22" t="inlineStr">
        <is>
          <t>Jun</t>
        </is>
      </c>
      <c r="F81" s="22" t="inlineStr">
        <is>
          <t>Jul</t>
        </is>
      </c>
      <c r="G81" s="22" t="inlineStr">
        <is>
          <t>Aug</t>
        </is>
      </c>
      <c r="H81" s="22" t="inlineStr">
        <is>
          <t>Sep</t>
        </is>
      </c>
      <c r="I81" s="22" t="inlineStr">
        <is>
          <t>Oct</t>
        </is>
      </c>
      <c r="J81" s="22" t="inlineStr">
        <is>
          <t>Nov</t>
        </is>
      </c>
      <c r="K81" s="22" t="inlineStr">
        <is>
          <t>Dec</t>
        </is>
      </c>
      <c r="L81" s="22" t="inlineStr">
        <is>
          <t>Total</t>
        </is>
      </c>
    </row>
    <row r="82">
      <c r="A82" s="23" t="inlineStr">
        <is>
          <t>Meetings needed /mo</t>
        </is>
      </c>
      <c r="B82" s="24" t="inlineStr">
        <is>
          <t>deals ÷ close %</t>
        </is>
      </c>
      <c r="C82" s="28">
        <f>IF($C$7&gt;0,CEILING(C78/$C$7,1),0)</f>
        <v/>
      </c>
      <c r="D82" s="28">
        <f>IF($C$7&gt;0,CEILING(D78/$C$7,1),0)</f>
        <v/>
      </c>
      <c r="E82" s="28">
        <f>IF($C$7&gt;0,CEILING(E78/$C$7,1),0)</f>
        <v/>
      </c>
      <c r="F82" s="28">
        <f>IF($C$7&gt;0,CEILING(F78/$C$7,1),0)</f>
        <v/>
      </c>
      <c r="G82" s="28">
        <f>IF($C$7&gt;0,CEILING(G78/$C$7,1),0)</f>
        <v/>
      </c>
      <c r="H82" s="28">
        <f>IF($C$7&gt;0,CEILING(H78/$C$7,1),0)</f>
        <v/>
      </c>
      <c r="I82" s="28">
        <f>IF($C$7&gt;0,CEILING(I78/$C$7,1),0)</f>
        <v/>
      </c>
      <c r="J82" s="28">
        <f>IF($C$7&gt;0,CEILING(J78/$C$7,1),0)</f>
        <v/>
      </c>
      <c r="K82" s="28">
        <f>IF($C$7&gt;0,CEILING(K78/$C$7,1),0)</f>
        <v/>
      </c>
      <c r="L82" s="27">
        <f>SUM(C82:K82)</f>
        <v/>
      </c>
    </row>
    <row r="83">
      <c r="A83" s="23" t="inlineStr">
        <is>
          <t>From SMB BDR (free)</t>
        </is>
      </c>
      <c r="C83" s="51">
        <f>MIN($C$9,C82)</f>
        <v/>
      </c>
      <c r="D83" s="51">
        <f>MIN($C$9,D82)</f>
        <v/>
      </c>
      <c r="E83" s="51">
        <f>MIN($C$9,E82)</f>
        <v/>
      </c>
      <c r="F83" s="51">
        <f>MIN($C$9,F82)</f>
        <v/>
      </c>
      <c r="G83" s="51">
        <f>MIN($C$9,G82)</f>
        <v/>
      </c>
      <c r="H83" s="51">
        <f>MIN($C$9,H82)</f>
        <v/>
      </c>
      <c r="I83" s="51">
        <f>MIN($C$9,I82)</f>
        <v/>
      </c>
      <c r="J83" s="51">
        <f>MIN($C$9,J82)</f>
        <v/>
      </c>
      <c r="K83" s="51">
        <f>MIN($C$9,K82)</f>
        <v/>
      </c>
      <c r="L83" s="51">
        <f>SUM(C83:K83)</f>
        <v/>
      </c>
    </row>
    <row r="84">
      <c r="A84" s="23" t="inlineStr">
        <is>
          <t>From dedicated BDRs</t>
        </is>
      </c>
      <c r="B84" s="24" t="inlineStr">
        <is>
          <t>needed /mo</t>
        </is>
      </c>
      <c r="C84" s="28">
        <f>MAX(0,C82-$C$9)</f>
        <v/>
      </c>
      <c r="D84" s="28">
        <f>MAX(0,D82-$C$9)</f>
        <v/>
      </c>
      <c r="E84" s="28">
        <f>MAX(0,E82-$C$9)</f>
        <v/>
      </c>
      <c r="F84" s="28">
        <f>MAX(0,F82-$C$9)</f>
        <v/>
      </c>
      <c r="G84" s="28">
        <f>MAX(0,G82-$C$9)</f>
        <v/>
      </c>
      <c r="H84" s="28">
        <f>MAX(0,H82-$C$9)</f>
        <v/>
      </c>
      <c r="I84" s="28">
        <f>MAX(0,I82-$C$9)</f>
        <v/>
      </c>
      <c r="J84" s="28">
        <f>MAX(0,J82-$C$9)</f>
        <v/>
      </c>
      <c r="K84" s="28">
        <f>MAX(0,K82-$C$9)</f>
        <v/>
      </c>
      <c r="L84" s="27">
        <f>SUM(C84:K84)</f>
        <v/>
      </c>
    </row>
    <row r="85">
      <c r="A85" s="23" t="inlineStr">
        <is>
          <t>BDRs needed (peak)</t>
        </is>
      </c>
      <c r="C85" s="27">
        <f>IF($C$8&gt;0,CEILING(MAX(C84:K84)/$C$8,1),0)</f>
        <v/>
      </c>
    </row>
    <row r="87">
      <c r="A87" s="20" t="inlineStr">
        <is>
          <t>ARR WATERFALL</t>
        </is>
      </c>
    </row>
    <row r="88">
      <c r="A88" s="22" t="inlineStr">
        <is>
          <t>Source</t>
        </is>
      </c>
      <c r="B88" s="22" t="inlineStr"/>
      <c r="C88" s="22" t="inlineStr">
        <is>
          <t>Apr</t>
        </is>
      </c>
      <c r="D88" s="22" t="inlineStr">
        <is>
          <t>May</t>
        </is>
      </c>
      <c r="E88" s="22" t="inlineStr">
        <is>
          <t>Jun</t>
        </is>
      </c>
      <c r="F88" s="22" t="inlineStr">
        <is>
          <t>Jul</t>
        </is>
      </c>
      <c r="G88" s="22" t="inlineStr">
        <is>
          <t>Aug</t>
        </is>
      </c>
      <c r="H88" s="22" t="inlineStr">
        <is>
          <t>Sep</t>
        </is>
      </c>
      <c r="I88" s="22" t="inlineStr">
        <is>
          <t>Oct</t>
        </is>
      </c>
      <c r="J88" s="22" t="inlineStr">
        <is>
          <t>Nov</t>
        </is>
      </c>
      <c r="K88" s="22" t="inlineStr">
        <is>
          <t>Dec</t>
        </is>
      </c>
      <c r="L88" s="22" t="inlineStr">
        <is>
          <t>Total</t>
        </is>
      </c>
    </row>
    <row r="89">
      <c r="A89" s="23" t="inlineStr">
        <is>
          <t>New deal ARR /mo</t>
        </is>
      </c>
      <c r="C89" s="52">
        <f>C75*$C$4+C76*$C$5+C77*$C$6</f>
        <v/>
      </c>
      <c r="D89" s="52">
        <f>D75*$C$4+D76*$C$5+D77*$C$6</f>
        <v/>
      </c>
      <c r="E89" s="52">
        <f>E75*$C$4+E76*$C$5+E77*$C$6</f>
        <v/>
      </c>
      <c r="F89" s="52">
        <f>F75*$C$4+F76*$C$5+F77*$C$6</f>
        <v/>
      </c>
      <c r="G89" s="52">
        <f>G75*$C$4+G76*$C$5+G77*$C$6</f>
        <v/>
      </c>
      <c r="H89" s="52">
        <f>H75*$C$4+H76*$C$5+H77*$C$6</f>
        <v/>
      </c>
      <c r="I89" s="52">
        <f>I75*$C$4+I76*$C$5+I77*$C$6</f>
        <v/>
      </c>
      <c r="J89" s="52">
        <f>J75*$C$4+J76*$C$5+J77*$C$6</f>
        <v/>
      </c>
      <c r="K89" s="52">
        <f>K75*$C$4+K76*$C$5+K77*$C$6</f>
        <v/>
      </c>
      <c r="L89" s="27">
        <f>SUM(C89:K89)</f>
        <v/>
      </c>
    </row>
    <row r="90">
      <c r="A90" s="23" t="inlineStr">
        <is>
          <t>Cum. new deal ARR</t>
        </is>
      </c>
      <c r="B90" s="24">
        <f> €2M target</f>
        <v/>
      </c>
      <c r="C90" s="27">
        <f>C89</f>
        <v/>
      </c>
      <c r="D90" s="27">
        <f>C90+D89</f>
        <v/>
      </c>
      <c r="E90" s="27">
        <f>D90+E89</f>
        <v/>
      </c>
      <c r="F90" s="27">
        <f>E90+F89</f>
        <v/>
      </c>
      <c r="G90" s="27">
        <f>F90+G89</f>
        <v/>
      </c>
      <c r="H90" s="27">
        <f>G90+H89</f>
        <v/>
      </c>
      <c r="I90" s="27">
        <f>H90+I89</f>
        <v/>
      </c>
      <c r="J90" s="27">
        <f>I90+J89</f>
        <v/>
      </c>
      <c r="K90" s="27">
        <f>J90+K89</f>
        <v/>
      </c>
      <c r="L90" s="27">
        <f>K90</f>
        <v/>
      </c>
    </row>
    <row r="91">
      <c r="A91" s="23" t="inlineStr">
        <is>
          <t>Expansion /mo</t>
        </is>
      </c>
      <c r="B91" s="24" t="inlineStr">
        <is>
          <t>pilot conv. upside</t>
        </is>
      </c>
      <c r="C91" s="53" t="n">
        <v>0</v>
      </c>
      <c r="D91" s="53" t="n">
        <v>0</v>
      </c>
      <c r="E91" s="53" t="n">
        <v>0</v>
      </c>
      <c r="F91" s="53" t="n">
        <v>0</v>
      </c>
      <c r="G91" s="53" t="n">
        <v>0</v>
      </c>
      <c r="H91" s="54">
        <f>ROUND(C75*$C$15,0)*($C$5-$C$4)+ROUND(C75*$C$16,0)*($C$6-$C$4)</f>
        <v/>
      </c>
      <c r="I91" s="54">
        <f>ROUND(D75*$C$15,0)*($C$5-$C$4)+ROUND(D75*$C$16,0)*($C$6-$C$4)</f>
        <v/>
      </c>
      <c r="J91" s="54">
        <f>ROUND(E75*$C$15,0)*($C$5-$C$4)+ROUND(E75*$C$16,0)*($C$6-$C$4)</f>
        <v/>
      </c>
      <c r="K91" s="54">
        <f>ROUND(F75*$C$15,0)*($C$5-$C$4)+ROUND(F75*$C$16,0)*($C$6-$C$4)</f>
        <v/>
      </c>
      <c r="L91" s="38">
        <f>SUM(C91:K91)</f>
        <v/>
      </c>
    </row>
    <row r="92">
      <c r="A92" s="23" t="inlineStr">
        <is>
          <t>Total ARR</t>
        </is>
      </c>
      <c r="B92" s="24" t="inlineStr">
        <is>
          <t>incl. expansion</t>
        </is>
      </c>
      <c r="C92" s="35">
        <f>C89+C91</f>
        <v/>
      </c>
      <c r="D92" s="35">
        <f>C92+D89+D91</f>
        <v/>
      </c>
      <c r="E92" s="35">
        <f>D92+E89+E91</f>
        <v/>
      </c>
      <c r="F92" s="35">
        <f>E92+F89+F91</f>
        <v/>
      </c>
      <c r="G92" s="35">
        <f>F92+G89+G91</f>
        <v/>
      </c>
      <c r="H92" s="35">
        <f>G92+H89+H91</f>
        <v/>
      </c>
      <c r="I92" s="35">
        <f>H92+I89+I91</f>
        <v/>
      </c>
      <c r="J92" s="35">
        <f>I92+J89+J91</f>
        <v/>
      </c>
      <c r="K92" s="35">
        <f>J92+K89+K91</f>
        <v/>
      </c>
      <c r="L92" s="35">
        <f>K92</f>
        <v/>
      </c>
    </row>
    <row r="95">
      <c r="A95" s="17" t="inlineStr">
        <is>
          <t>SCENARIO 3: HYPER-PUSH</t>
        </is>
      </c>
    </row>
    <row r="96">
      <c r="A96" s="19" t="inlineStr">
        <is>
          <t>Build the €3M machine</t>
        </is>
      </c>
    </row>
    <row r="97">
      <c r="A97" s="21" t="inlineStr">
        <is>
          <t>Victor FT May. New AEs: Jun/Jul(2)/Sep(2)/Nov. SMB switch Aug. Needs team lead by Aug. Risk: HIGH.</t>
        </is>
      </c>
    </row>
    <row r="99">
      <c r="A99" s="20" t="inlineStr">
        <is>
          <t>HEADCOUNT</t>
        </is>
      </c>
    </row>
    <row r="100">
      <c r="A100" s="22" t="inlineStr"/>
      <c r="B100" s="22" t="inlineStr"/>
      <c r="C100" s="22" t="inlineStr">
        <is>
          <t>Apr</t>
        </is>
      </c>
      <c r="D100" s="22" t="inlineStr">
        <is>
          <t>May</t>
        </is>
      </c>
      <c r="E100" s="22" t="inlineStr">
        <is>
          <t>Jun</t>
        </is>
      </c>
      <c r="F100" s="22" t="inlineStr">
        <is>
          <t>Jul</t>
        </is>
      </c>
      <c r="G100" s="22" t="inlineStr">
        <is>
          <t>Aug</t>
        </is>
      </c>
      <c r="H100" s="22" t="inlineStr">
        <is>
          <t>Sep</t>
        </is>
      </c>
      <c r="I100" s="22" t="inlineStr">
        <is>
          <t>Oct</t>
        </is>
      </c>
      <c r="J100" s="22" t="inlineStr">
        <is>
          <t>Nov</t>
        </is>
      </c>
      <c r="K100" s="22" t="inlineStr">
        <is>
          <t>Dec</t>
        </is>
      </c>
      <c r="L100" s="22" t="inlineStr">
        <is>
          <t>Peak</t>
        </is>
      </c>
    </row>
    <row r="101">
      <c r="A101" s="23" t="inlineStr">
        <is>
          <t>AEs (ramped)</t>
        </is>
      </c>
      <c r="B101" s="24" t="inlineStr">
        <is>
          <t>no ramp</t>
        </is>
      </c>
      <c r="C101" s="25" t="n">
        <v>0.6</v>
      </c>
      <c r="D101" s="25" t="n">
        <v>1.4</v>
      </c>
      <c r="E101" s="25" t="n">
        <v>1.4</v>
      </c>
      <c r="F101" s="25" t="n">
        <v>1.4</v>
      </c>
      <c r="G101" s="25" t="n">
        <v>2.7</v>
      </c>
      <c r="H101" s="25" t="n">
        <v>2.7</v>
      </c>
      <c r="I101" s="25" t="n">
        <v>2.7</v>
      </c>
      <c r="J101" s="25" t="n">
        <v>2.7</v>
      </c>
      <c r="K101" s="25" t="n">
        <v>2.7</v>
      </c>
      <c r="L101" s="28">
        <f>MAX(C101:K101)</f>
        <v/>
      </c>
    </row>
    <row r="102">
      <c r="A102" s="23" t="inlineStr">
        <is>
          <t>AEs (new hires)</t>
        </is>
      </c>
      <c r="B102" s="24" t="inlineStr">
        <is>
          <t>cumulative</t>
        </is>
      </c>
      <c r="C102" s="25" t="n">
        <v>0</v>
      </c>
      <c r="D102" s="25" t="n">
        <v>0</v>
      </c>
      <c r="E102" s="25" t="n">
        <v>1</v>
      </c>
      <c r="F102" s="25" t="n">
        <v>3</v>
      </c>
      <c r="G102" s="25" t="n">
        <v>3</v>
      </c>
      <c r="H102" s="25" t="n">
        <v>5</v>
      </c>
      <c r="I102" s="25" t="n">
        <v>5</v>
      </c>
      <c r="J102" s="25" t="n">
        <v>6</v>
      </c>
      <c r="K102" s="25" t="n">
        <v>6</v>
      </c>
      <c r="L102" s="28">
        <f>MAX(C102:K102)</f>
        <v/>
      </c>
    </row>
    <row r="103">
      <c r="A103" s="24" t="inlineStr">
        <is>
          <t xml:space="preserve">  added this month</t>
        </is>
      </c>
      <c r="C103" s="50">
        <f>MAX(0,C102)</f>
        <v/>
      </c>
      <c r="D103" s="50">
        <f>MAX(0,D102-C102)</f>
        <v/>
      </c>
      <c r="E103" s="50">
        <f>MAX(0,E102-D102)</f>
        <v/>
      </c>
      <c r="F103" s="50">
        <f>MAX(0,F102-E102)</f>
        <v/>
      </c>
      <c r="G103" s="50">
        <f>MAX(0,G102-F102)</f>
        <v/>
      </c>
      <c r="H103" s="50">
        <f>MAX(0,H102-G102)</f>
        <v/>
      </c>
      <c r="I103" s="50">
        <f>MAX(0,I102-H102)</f>
        <v/>
      </c>
      <c r="J103" s="50">
        <f>MAX(0,J102-I102)</f>
        <v/>
      </c>
      <c r="K103" s="50">
        <f>MAX(0,K102-J102)</f>
        <v/>
      </c>
    </row>
    <row r="104">
      <c r="A104" s="23" t="inlineStr">
        <is>
          <t>Effective AEs</t>
        </is>
      </c>
      <c r="B104" s="24" t="inlineStr">
        <is>
          <t>incl. ramp</t>
        </is>
      </c>
      <c r="C104" s="28">
        <f>C101+C103*$C$12</f>
        <v/>
      </c>
      <c r="D104" s="28">
        <f>D101+D103*$C$12+C103*$C$13</f>
        <v/>
      </c>
      <c r="E104" s="28">
        <f>E101+E103*$C$12+D103*$C$13+SUM(C103:C103)*$C$14</f>
        <v/>
      </c>
      <c r="F104" s="28">
        <f>F101+F103*$C$12+E103*$C$13+SUM(C103:D103)*$C$14</f>
        <v/>
      </c>
      <c r="G104" s="28">
        <f>G101+G103*$C$12+F103*$C$13+SUM(C103:E103)*$C$14</f>
        <v/>
      </c>
      <c r="H104" s="28">
        <f>H101+H103*$C$12+G103*$C$13+SUM(C103:F103)*$C$14</f>
        <v/>
      </c>
      <c r="I104" s="28">
        <f>I101+I103*$C$12+H103*$C$13+SUM(C103:G103)*$C$14</f>
        <v/>
      </c>
      <c r="J104" s="28">
        <f>J101+J103*$C$12+I103*$C$13+SUM(C103:H103)*$C$14</f>
        <v/>
      </c>
      <c r="K104" s="28">
        <f>K101+K103*$C$12+J103*$C$13+SUM(C103:I103)*$C$14</f>
        <v/>
      </c>
      <c r="L104" s="28">
        <f>MAX(C104:K104)</f>
        <v/>
      </c>
    </row>
    <row r="105">
      <c r="A105" s="23" t="inlineStr">
        <is>
          <t>BDRs (dedicated)</t>
        </is>
      </c>
      <c r="B105" s="24" t="inlineStr">
        <is>
          <t>FTE</t>
        </is>
      </c>
      <c r="C105" s="25" t="n">
        <v>0.4</v>
      </c>
      <c r="D105" s="25" t="n">
        <v>1</v>
      </c>
      <c r="E105" s="25" t="n">
        <v>2</v>
      </c>
      <c r="F105" s="25" t="n">
        <v>3</v>
      </c>
      <c r="G105" s="25" t="n">
        <v>4</v>
      </c>
      <c r="H105" s="25" t="n">
        <v>5</v>
      </c>
      <c r="I105" s="25" t="n">
        <v>6</v>
      </c>
      <c r="J105" s="25" t="n">
        <v>6</v>
      </c>
      <c r="K105" s="25" t="n">
        <v>6</v>
      </c>
      <c r="L105" s="28">
        <f>MAX(C105:K105)</f>
        <v/>
      </c>
    </row>
    <row r="106">
      <c r="A106" s="23" t="inlineStr">
        <is>
          <t>Total headcount</t>
        </is>
      </c>
      <c r="C106" s="28">
        <f>C101+C102+C105</f>
        <v/>
      </c>
      <c r="D106" s="28">
        <f>D101+D102+D105</f>
        <v/>
      </c>
      <c r="E106" s="28">
        <f>E101+E102+E105</f>
        <v/>
      </c>
      <c r="F106" s="28">
        <f>F101+F102+F105</f>
        <v/>
      </c>
      <c r="G106" s="28">
        <f>G101+G102+G105</f>
        <v/>
      </c>
      <c r="H106" s="28">
        <f>H101+H102+H105</f>
        <v/>
      </c>
      <c r="I106" s="28">
        <f>I101+I102+I105</f>
        <v/>
      </c>
      <c r="J106" s="28">
        <f>J101+J102+J105</f>
        <v/>
      </c>
      <c r="K106" s="28">
        <f>K101+K102+K105</f>
        <v/>
      </c>
      <c r="L106" s="28">
        <f>MAX(C106:K106)</f>
        <v/>
      </c>
    </row>
    <row r="107">
      <c r="A107" s="23" t="inlineStr">
        <is>
          <t>Monthly cost</t>
        </is>
      </c>
      <c r="C107" s="28">
        <f>(C101+C102)*$C$10+C105*$C$11</f>
        <v/>
      </c>
      <c r="D107" s="28">
        <f>(D101+D102)*$C$10+D105*$C$11</f>
        <v/>
      </c>
      <c r="E107" s="28">
        <f>(E101+E102)*$C$10+E105*$C$11</f>
        <v/>
      </c>
      <c r="F107" s="28">
        <f>(F101+F102)*$C$10+F105*$C$11</f>
        <v/>
      </c>
      <c r="G107" s="28">
        <f>(G101+G102)*$C$10+G105*$C$11</f>
        <v/>
      </c>
      <c r="H107" s="28">
        <f>(H101+H102)*$C$10+H105*$C$11</f>
        <v/>
      </c>
      <c r="I107" s="28">
        <f>(I101+I102)*$C$10+I105*$C$11</f>
        <v/>
      </c>
      <c r="J107" s="28">
        <f>(J101+J102)*$C$10+J105*$C$11</f>
        <v/>
      </c>
      <c r="K107" s="28">
        <f>(K101+K102)*$C$10+K105*$C$11</f>
        <v/>
      </c>
      <c r="L107" s="27">
        <f>SUM(C107:K107)</f>
        <v/>
      </c>
    </row>
    <row r="109">
      <c r="A109" s="20" t="inlineStr">
        <is>
          <t>DEAL FLOW (edit these)</t>
        </is>
      </c>
    </row>
    <row r="110">
      <c r="A110" s="22" t="inlineStr">
        <is>
          <t>Type</t>
        </is>
      </c>
      <c r="B110" s="22" t="inlineStr"/>
      <c r="C110" s="22" t="inlineStr">
        <is>
          <t>Apr</t>
        </is>
      </c>
      <c r="D110" s="22" t="inlineStr">
        <is>
          <t>May</t>
        </is>
      </c>
      <c r="E110" s="22" t="inlineStr">
        <is>
          <t>Jun</t>
        </is>
      </c>
      <c r="F110" s="22" t="inlineStr">
        <is>
          <t>Jul</t>
        </is>
      </c>
      <c r="G110" s="22" t="inlineStr">
        <is>
          <t>Aug</t>
        </is>
      </c>
      <c r="H110" s="22" t="inlineStr">
        <is>
          <t>Sep</t>
        </is>
      </c>
      <c r="I110" s="22" t="inlineStr">
        <is>
          <t>Oct</t>
        </is>
      </c>
      <c r="J110" s="22" t="inlineStr">
        <is>
          <t>Nov</t>
        </is>
      </c>
      <c r="K110" s="22" t="inlineStr">
        <is>
          <t>Dec</t>
        </is>
      </c>
      <c r="L110" s="22" t="inlineStr">
        <is>
          <t>Total</t>
        </is>
      </c>
    </row>
    <row r="111">
      <c r="A111" s="24" t="inlineStr">
        <is>
          <t xml:space="preserve">  capacity guide</t>
        </is>
      </c>
      <c r="B111" s="24" t="inlineStr">
        <is>
          <t>suggested</t>
        </is>
      </c>
      <c r="C111" s="50">
        <f>ROUND(C104*($C$17+$C$18+$C$19),0)</f>
        <v/>
      </c>
      <c r="D111" s="50">
        <f>ROUND(D104*($C$17+$C$18+$C$19),0)</f>
        <v/>
      </c>
      <c r="E111" s="50">
        <f>ROUND(E104*($C$17+$C$18+$C$19),0)</f>
        <v/>
      </c>
      <c r="F111" s="50">
        <f>ROUND(F104*($C$17+$C$18+$C$19),0)</f>
        <v/>
      </c>
      <c r="G111" s="50">
        <f>ROUND(G104*($C$17+$C$18+$C$19),0)</f>
        <v/>
      </c>
      <c r="H111" s="50">
        <f>ROUND(H104*($C$17+$C$18+$C$19),0)</f>
        <v/>
      </c>
      <c r="I111" s="50">
        <f>ROUND(I104*($C$17+$C$18+$C$19),0)</f>
        <v/>
      </c>
      <c r="J111" s="50">
        <f>ROUND(J104*($C$17+$C$18+$C$19),0)</f>
        <v/>
      </c>
      <c r="K111" s="50">
        <f>ROUND(K104*($C$17+$C$18+$C$19),0)</f>
        <v/>
      </c>
      <c r="L111" s="50">
        <f>SUM(C111:K111)</f>
        <v/>
      </c>
    </row>
    <row r="112">
      <c r="A112" s="23" t="inlineStr">
        <is>
          <t>Pilots</t>
        </is>
      </c>
      <c r="B112" s="24" t="inlineStr">
        <is>
          <t>€15K ARR</t>
        </is>
      </c>
      <c r="C112" s="25" t="n">
        <v>1</v>
      </c>
      <c r="D112" s="25" t="n">
        <v>3</v>
      </c>
      <c r="E112" s="25" t="n">
        <v>3</v>
      </c>
      <c r="F112" s="25" t="n">
        <v>4</v>
      </c>
      <c r="G112" s="25" t="n">
        <v>7</v>
      </c>
      <c r="H112" s="25" t="n">
        <v>8</v>
      </c>
      <c r="I112" s="25" t="n">
        <v>10</v>
      </c>
      <c r="J112" s="25" t="n">
        <v>12</v>
      </c>
      <c r="K112" s="25" t="n">
        <v>13</v>
      </c>
      <c r="L112" s="28">
        <f>SUM(C112:K112)</f>
        <v/>
      </c>
    </row>
    <row r="113">
      <c r="A113" s="23" t="inlineStr">
        <is>
          <t>Medium</t>
        </is>
      </c>
      <c r="B113" s="24" t="inlineStr">
        <is>
          <t>€50K ARR</t>
        </is>
      </c>
      <c r="C113" s="25" t="n">
        <v>0</v>
      </c>
      <c r="D113" s="25" t="n">
        <v>1</v>
      </c>
      <c r="E113" s="25" t="n">
        <v>1</v>
      </c>
      <c r="F113" s="25" t="n">
        <v>1</v>
      </c>
      <c r="G113" s="25" t="n">
        <v>2</v>
      </c>
      <c r="H113" s="25" t="n">
        <v>3</v>
      </c>
      <c r="I113" s="25" t="n">
        <v>3</v>
      </c>
      <c r="J113" s="25" t="n">
        <v>3</v>
      </c>
      <c r="K113" s="25" t="n">
        <v>4</v>
      </c>
      <c r="L113" s="28">
        <f>SUM(C113:K113)</f>
        <v/>
      </c>
    </row>
    <row r="114">
      <c r="A114" s="23" t="inlineStr">
        <is>
          <t>Large</t>
        </is>
      </c>
      <c r="B114" s="24" t="inlineStr">
        <is>
          <t>€100K ARR</t>
        </is>
      </c>
      <c r="C114" s="25" t="n">
        <v>0</v>
      </c>
      <c r="D114" s="25" t="n">
        <v>1</v>
      </c>
      <c r="E114" s="25" t="n">
        <v>1</v>
      </c>
      <c r="F114" s="25" t="n">
        <v>1</v>
      </c>
      <c r="G114" s="25" t="n">
        <v>1</v>
      </c>
      <c r="H114" s="25" t="n">
        <v>2</v>
      </c>
      <c r="I114" s="25" t="n">
        <v>2</v>
      </c>
      <c r="J114" s="25" t="n">
        <v>2</v>
      </c>
      <c r="K114" s="25" t="n">
        <v>3</v>
      </c>
      <c r="L114" s="28">
        <f>SUM(C114:K114)</f>
        <v/>
      </c>
    </row>
    <row r="115">
      <c r="A115" s="23" t="inlineStr">
        <is>
          <t>Total deals</t>
        </is>
      </c>
      <c r="C115" s="27">
        <f>C112+C113+C114</f>
        <v/>
      </c>
      <c r="D115" s="27">
        <f>D112+D113+D114</f>
        <v/>
      </c>
      <c r="E115" s="27">
        <f>E112+E113+E114</f>
        <v/>
      </c>
      <c r="F115" s="27">
        <f>F112+F113+F114</f>
        <v/>
      </c>
      <c r="G115" s="27">
        <f>G112+G113+G114</f>
        <v/>
      </c>
      <c r="H115" s="27">
        <f>H112+H113+H114</f>
        <v/>
      </c>
      <c r="I115" s="27">
        <f>I112+I113+I114</f>
        <v/>
      </c>
      <c r="J115" s="27">
        <f>J112+J113+J114</f>
        <v/>
      </c>
      <c r="K115" s="27">
        <f>K112+K113+K114</f>
        <v/>
      </c>
      <c r="L115" s="27">
        <f>SUM(C115:K115)</f>
        <v/>
      </c>
    </row>
    <row r="117">
      <c r="A117" s="20" t="inlineStr">
        <is>
          <t>BDR FUNNEL</t>
        </is>
      </c>
    </row>
    <row r="118">
      <c r="A118" s="22" t="inlineStr">
        <is>
          <t>Metric</t>
        </is>
      </c>
      <c r="B118" s="22" t="inlineStr"/>
      <c r="C118" s="22" t="inlineStr">
        <is>
          <t>Apr</t>
        </is>
      </c>
      <c r="D118" s="22" t="inlineStr">
        <is>
          <t>May</t>
        </is>
      </c>
      <c r="E118" s="22" t="inlineStr">
        <is>
          <t>Jun</t>
        </is>
      </c>
      <c r="F118" s="22" t="inlineStr">
        <is>
          <t>Jul</t>
        </is>
      </c>
      <c r="G118" s="22" t="inlineStr">
        <is>
          <t>Aug</t>
        </is>
      </c>
      <c r="H118" s="22" t="inlineStr">
        <is>
          <t>Sep</t>
        </is>
      </c>
      <c r="I118" s="22" t="inlineStr">
        <is>
          <t>Oct</t>
        </is>
      </c>
      <c r="J118" s="22" t="inlineStr">
        <is>
          <t>Nov</t>
        </is>
      </c>
      <c r="K118" s="22" t="inlineStr">
        <is>
          <t>Dec</t>
        </is>
      </c>
      <c r="L118" s="22" t="inlineStr">
        <is>
          <t>Total</t>
        </is>
      </c>
    </row>
    <row r="119">
      <c r="A119" s="23" t="inlineStr">
        <is>
          <t>Meetings needed /mo</t>
        </is>
      </c>
      <c r="B119" s="24" t="inlineStr">
        <is>
          <t>deals ÷ close %</t>
        </is>
      </c>
      <c r="C119" s="28">
        <f>IF($C$7&gt;0,CEILING(C115/$C$7,1),0)</f>
        <v/>
      </c>
      <c r="D119" s="28">
        <f>IF($C$7&gt;0,CEILING(D115/$C$7,1),0)</f>
        <v/>
      </c>
      <c r="E119" s="28">
        <f>IF($C$7&gt;0,CEILING(E115/$C$7,1),0)</f>
        <v/>
      </c>
      <c r="F119" s="28">
        <f>IF($C$7&gt;0,CEILING(F115/$C$7,1),0)</f>
        <v/>
      </c>
      <c r="G119" s="28">
        <f>IF($C$7&gt;0,CEILING(G115/$C$7,1),0)</f>
        <v/>
      </c>
      <c r="H119" s="28">
        <f>IF($C$7&gt;0,CEILING(H115/$C$7,1),0)</f>
        <v/>
      </c>
      <c r="I119" s="28">
        <f>IF($C$7&gt;0,CEILING(I115/$C$7,1),0)</f>
        <v/>
      </c>
      <c r="J119" s="28">
        <f>IF($C$7&gt;0,CEILING(J115/$C$7,1),0)</f>
        <v/>
      </c>
      <c r="K119" s="28">
        <f>IF($C$7&gt;0,CEILING(K115/$C$7,1),0)</f>
        <v/>
      </c>
      <c r="L119" s="27">
        <f>SUM(C119:K119)</f>
        <v/>
      </c>
    </row>
    <row r="120">
      <c r="A120" s="23" t="inlineStr">
        <is>
          <t>From SMB BDR (free)</t>
        </is>
      </c>
      <c r="C120" s="51">
        <f>MIN($C$9,C119)</f>
        <v/>
      </c>
      <c r="D120" s="51">
        <f>MIN($C$9,D119)</f>
        <v/>
      </c>
      <c r="E120" s="51">
        <f>MIN($C$9,E119)</f>
        <v/>
      </c>
      <c r="F120" s="51">
        <f>MIN($C$9,F119)</f>
        <v/>
      </c>
      <c r="G120" s="51">
        <f>MIN($C$9,G119)</f>
        <v/>
      </c>
      <c r="H120" s="51">
        <f>MIN($C$9,H119)</f>
        <v/>
      </c>
      <c r="I120" s="51">
        <f>MIN($C$9,I119)</f>
        <v/>
      </c>
      <c r="J120" s="51">
        <f>MIN($C$9,J119)</f>
        <v/>
      </c>
      <c r="K120" s="51">
        <f>MIN($C$9,K119)</f>
        <v/>
      </c>
      <c r="L120" s="51">
        <f>SUM(C120:K120)</f>
        <v/>
      </c>
    </row>
    <row r="121">
      <c r="A121" s="23" t="inlineStr">
        <is>
          <t>From dedicated BDRs</t>
        </is>
      </c>
      <c r="B121" s="24" t="inlineStr">
        <is>
          <t>needed /mo</t>
        </is>
      </c>
      <c r="C121" s="28">
        <f>MAX(0,C119-$C$9)</f>
        <v/>
      </c>
      <c r="D121" s="28">
        <f>MAX(0,D119-$C$9)</f>
        <v/>
      </c>
      <c r="E121" s="28">
        <f>MAX(0,E119-$C$9)</f>
        <v/>
      </c>
      <c r="F121" s="28">
        <f>MAX(0,F119-$C$9)</f>
        <v/>
      </c>
      <c r="G121" s="28">
        <f>MAX(0,G119-$C$9)</f>
        <v/>
      </c>
      <c r="H121" s="28">
        <f>MAX(0,H119-$C$9)</f>
        <v/>
      </c>
      <c r="I121" s="28">
        <f>MAX(0,I119-$C$9)</f>
        <v/>
      </c>
      <c r="J121" s="28">
        <f>MAX(0,J119-$C$9)</f>
        <v/>
      </c>
      <c r="K121" s="28">
        <f>MAX(0,K119-$C$9)</f>
        <v/>
      </c>
      <c r="L121" s="27">
        <f>SUM(C121:K121)</f>
        <v/>
      </c>
    </row>
    <row r="122">
      <c r="A122" s="23" t="inlineStr">
        <is>
          <t>BDRs needed (peak)</t>
        </is>
      </c>
      <c r="C122" s="27">
        <f>IF($C$8&gt;0,CEILING(MAX(C121:K121)/$C$8,1),0)</f>
        <v/>
      </c>
    </row>
    <row r="124">
      <c r="A124" s="20" t="inlineStr">
        <is>
          <t>ARR WATERFALL</t>
        </is>
      </c>
    </row>
    <row r="125">
      <c r="A125" s="22" t="inlineStr">
        <is>
          <t>Source</t>
        </is>
      </c>
      <c r="B125" s="22" t="inlineStr"/>
      <c r="C125" s="22" t="inlineStr">
        <is>
          <t>Apr</t>
        </is>
      </c>
      <c r="D125" s="22" t="inlineStr">
        <is>
          <t>May</t>
        </is>
      </c>
      <c r="E125" s="22" t="inlineStr">
        <is>
          <t>Jun</t>
        </is>
      </c>
      <c r="F125" s="22" t="inlineStr">
        <is>
          <t>Jul</t>
        </is>
      </c>
      <c r="G125" s="22" t="inlineStr">
        <is>
          <t>Aug</t>
        </is>
      </c>
      <c r="H125" s="22" t="inlineStr">
        <is>
          <t>Sep</t>
        </is>
      </c>
      <c r="I125" s="22" t="inlineStr">
        <is>
          <t>Oct</t>
        </is>
      </c>
      <c r="J125" s="22" t="inlineStr">
        <is>
          <t>Nov</t>
        </is>
      </c>
      <c r="K125" s="22" t="inlineStr">
        <is>
          <t>Dec</t>
        </is>
      </c>
      <c r="L125" s="22" t="inlineStr">
        <is>
          <t>Total</t>
        </is>
      </c>
    </row>
    <row r="126">
      <c r="A126" s="23" t="inlineStr">
        <is>
          <t>New deal ARR /mo</t>
        </is>
      </c>
      <c r="C126" s="52">
        <f>C112*$C$4+C113*$C$5+C114*$C$6</f>
        <v/>
      </c>
      <c r="D126" s="52">
        <f>D112*$C$4+D113*$C$5+D114*$C$6</f>
        <v/>
      </c>
      <c r="E126" s="52">
        <f>E112*$C$4+E113*$C$5+E114*$C$6</f>
        <v/>
      </c>
      <c r="F126" s="52">
        <f>F112*$C$4+F113*$C$5+F114*$C$6</f>
        <v/>
      </c>
      <c r="G126" s="52">
        <f>G112*$C$4+G113*$C$5+G114*$C$6</f>
        <v/>
      </c>
      <c r="H126" s="52">
        <f>H112*$C$4+H113*$C$5+H114*$C$6</f>
        <v/>
      </c>
      <c r="I126" s="52">
        <f>I112*$C$4+I113*$C$5+I114*$C$6</f>
        <v/>
      </c>
      <c r="J126" s="52">
        <f>J112*$C$4+J113*$C$5+J114*$C$6</f>
        <v/>
      </c>
      <c r="K126" s="52">
        <f>K112*$C$4+K113*$C$5+K114*$C$6</f>
        <v/>
      </c>
      <c r="L126" s="27">
        <f>SUM(C126:K126)</f>
        <v/>
      </c>
    </row>
    <row r="127">
      <c r="A127" s="23" t="inlineStr">
        <is>
          <t>Cum. new deal ARR</t>
        </is>
      </c>
      <c r="B127" s="24">
        <f> €2M target</f>
        <v/>
      </c>
      <c r="C127" s="27">
        <f>C126</f>
        <v/>
      </c>
      <c r="D127" s="27">
        <f>C127+D126</f>
        <v/>
      </c>
      <c r="E127" s="27">
        <f>D127+E126</f>
        <v/>
      </c>
      <c r="F127" s="27">
        <f>E127+F126</f>
        <v/>
      </c>
      <c r="G127" s="27">
        <f>F127+G126</f>
        <v/>
      </c>
      <c r="H127" s="27">
        <f>G127+H126</f>
        <v/>
      </c>
      <c r="I127" s="27">
        <f>H127+I126</f>
        <v/>
      </c>
      <c r="J127" s="27">
        <f>I127+J126</f>
        <v/>
      </c>
      <c r="K127" s="27">
        <f>J127+K126</f>
        <v/>
      </c>
      <c r="L127" s="27">
        <f>K127</f>
        <v/>
      </c>
    </row>
    <row r="128">
      <c r="A128" s="23" t="inlineStr">
        <is>
          <t>Expansion /mo</t>
        </is>
      </c>
      <c r="B128" s="24" t="inlineStr">
        <is>
          <t>pilot conv. upside</t>
        </is>
      </c>
      <c r="C128" s="53" t="n">
        <v>0</v>
      </c>
      <c r="D128" s="53" t="n">
        <v>0</v>
      </c>
      <c r="E128" s="53" t="n">
        <v>0</v>
      </c>
      <c r="F128" s="53" t="n">
        <v>0</v>
      </c>
      <c r="G128" s="53" t="n">
        <v>0</v>
      </c>
      <c r="H128" s="54">
        <f>ROUND(C112*$C$15,0)*($C$5-$C$4)+ROUND(C112*$C$16,0)*($C$6-$C$4)</f>
        <v/>
      </c>
      <c r="I128" s="54">
        <f>ROUND(D112*$C$15,0)*($C$5-$C$4)+ROUND(D112*$C$16,0)*($C$6-$C$4)</f>
        <v/>
      </c>
      <c r="J128" s="54">
        <f>ROUND(E112*$C$15,0)*($C$5-$C$4)+ROUND(E112*$C$16,0)*($C$6-$C$4)</f>
        <v/>
      </c>
      <c r="K128" s="54">
        <f>ROUND(F112*$C$15,0)*($C$5-$C$4)+ROUND(F112*$C$16,0)*($C$6-$C$4)</f>
        <v/>
      </c>
      <c r="L128" s="38">
        <f>SUM(C128:K128)</f>
        <v/>
      </c>
    </row>
    <row r="129">
      <c r="A129" s="23" t="inlineStr">
        <is>
          <t>Total ARR</t>
        </is>
      </c>
      <c r="B129" s="24" t="inlineStr">
        <is>
          <t>incl. expansion</t>
        </is>
      </c>
      <c r="C129" s="35">
        <f>C126+C128</f>
        <v/>
      </c>
      <c r="D129" s="35">
        <f>C129+D126+D128</f>
        <v/>
      </c>
      <c r="E129" s="35">
        <f>D129+E126+E128</f>
        <v/>
      </c>
      <c r="F129" s="35">
        <f>E129+F126+F128</f>
        <v/>
      </c>
      <c r="G129" s="35">
        <f>F129+G126+G128</f>
        <v/>
      </c>
      <c r="H129" s="35">
        <f>G129+H126+H128</f>
        <v/>
      </c>
      <c r="I129" s="35">
        <f>H129+I126+I128</f>
        <v/>
      </c>
      <c r="J129" s="35">
        <f>I129+J126+J128</f>
        <v/>
      </c>
      <c r="K129" s="35">
        <f>J129+K126+K128</f>
        <v/>
      </c>
      <c r="L129" s="35">
        <f>K129</f>
        <v/>
      </c>
    </row>
  </sheetData>
  <mergeCells count="3">
    <mergeCell ref="A97:K97"/>
    <mergeCell ref="A23:K23"/>
    <mergeCell ref="A60:K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2026-04-03T06:32:30Z</dcterms:created>
  <dcterms:modified xmlns:dcterms="http://purl.org/dc/terms/" xmlns:xsi="http://www.w3.org/2001/XMLSchema-instance" xsi:type="dcterms:W3CDTF">2026-04-12T13:00:53Z</dcterms:modified>
</cp:coreProperties>
</file>
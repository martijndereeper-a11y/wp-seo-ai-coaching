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L" sheetId="1" state="visible" r:id="rId1"/>
    <sheet xmlns:r="http://schemas.openxmlformats.org/officeDocument/2006/relationships" name="DE" sheetId="2" state="visible" r:id="rId2"/>
    <sheet xmlns:r="http://schemas.openxmlformats.org/officeDocument/2006/relationships" name="M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color rgb="002F5496"/>
      <sz val="13"/>
    </font>
    <font>
      <sz val="9"/>
    </font>
    <font>
      <b val="1"/>
      <color rgb="00FF0000"/>
    </font>
    <font>
      <b val="1"/>
      <color rgb="00FFFFFF"/>
      <sz val="11"/>
    </font>
    <font>
      <b val="1"/>
      <sz val="10"/>
    </font>
    <font>
      <b val="1"/>
      <color rgb="002F5496"/>
      <sz val="14"/>
    </font>
    <font>
      <name val="Calibri"/>
      <b val="1"/>
      <color rgb="000B1F3B"/>
      <sz val="14"/>
    </font>
    <font>
      <name val="Calibri"/>
      <b val="1"/>
      <color rgb="00B748FF"/>
      <sz val="12"/>
    </font>
    <font>
      <name val="Calibri"/>
      <color rgb="0016151A"/>
      <sz val="10"/>
    </font>
    <font>
      <name val="Calibri"/>
      <i val="1"/>
      <color rgb="00615567"/>
      <sz val="10"/>
    </font>
    <font>
      <name val="Calibri"/>
      <b val="1"/>
      <color rgb="000B1F3B"/>
      <sz val="11"/>
    </font>
    <font>
      <name val="Calibri"/>
      <b val="1"/>
      <color rgb="00FFFFFF"/>
      <sz val="10"/>
    </font>
    <font>
      <name val="Calibri"/>
      <b val="1"/>
      <color rgb="00615567"/>
      <sz val="10"/>
    </font>
    <font>
      <name val="Calibri"/>
      <b val="1"/>
      <color rgb="0016151A"/>
      <sz val="10"/>
    </font>
    <font>
      <name val="Calibri"/>
      <color rgb="00615567"/>
      <sz val="9"/>
    </font>
    <font>
      <name val="Calibri"/>
      <b val="1"/>
      <color rgb="00E5484D"/>
      <sz val="10"/>
    </font>
    <font>
      <name val="Calibri"/>
      <b val="1"/>
      <color rgb="002CB67D"/>
      <sz val="10"/>
    </font>
    <font>
      <name val="Calibri"/>
      <color rgb="002CB67D"/>
      <sz val="9"/>
    </font>
    <font>
      <name val="Calibri"/>
      <b val="1"/>
      <color rgb="00B748FF"/>
      <sz val="10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0B1F3B"/>
        <bgColor rgb="000B1F3B"/>
      </patternFill>
    </fill>
    <fill>
      <patternFill patternType="solid">
        <fgColor rgb="00FFF8E0"/>
        <bgColor rgb="00FFF8E0"/>
      </patternFill>
    </fill>
    <fill>
      <patternFill patternType="solid">
        <fgColor rgb="00E6F7EF"/>
        <bgColor rgb="00E6F7EF"/>
      </patternFill>
    </fill>
    <fill>
      <patternFill patternType="solid">
        <fgColor rgb="00F0EBFF"/>
        <bgColor rgb="00F0EB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E0DFE6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6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4" fontId="0" fillId="4" borderId="1" pivotButton="0" quotePrefix="0" xfId="0"/>
    <xf numFmtId="4" fontId="0" fillId="0" borderId="1" pivotButton="0" quotePrefix="0" xfId="0"/>
    <xf numFmtId="3" fontId="0" fillId="4" borderId="1" pivotButton="0" quotePrefix="0" xfId="0"/>
    <xf numFmtId="0" fontId="7" fillId="6" borderId="0" pivotButton="0" quotePrefix="0" xfId="0"/>
    <xf numFmtId="0" fontId="0" fillId="6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1" fillId="0" borderId="0" applyAlignment="1" pivotButton="0" quotePrefix="0" xfId="0">
      <alignment wrapText="1"/>
    </xf>
    <xf numFmtId="0" fontId="13" fillId="7" borderId="0" applyAlignment="1" pivotButton="0" quotePrefix="0" xfId="0">
      <alignment horizontal="center"/>
    </xf>
    <xf numFmtId="0" fontId="14" fillId="0" borderId="0" pivotButton="0" quotePrefix="0" xfId="0"/>
    <xf numFmtId="0" fontId="16" fillId="0" borderId="0" pivotButton="0" quotePrefix="0" xfId="0"/>
    <xf numFmtId="0" fontId="10" fillId="8" borderId="2" applyAlignment="1" pivotButton="0" quotePrefix="0" xfId="0">
      <alignment horizontal="center"/>
    </xf>
    <xf numFmtId="0" fontId="15" fillId="9" borderId="0" applyAlignment="1" pivotButton="0" quotePrefix="0" xfId="0">
      <alignment horizontal="center"/>
    </xf>
    <xf numFmtId="0" fontId="15" fillId="9" borderId="2" applyAlignment="1" pivotButton="0" quotePrefix="0" xfId="0">
      <alignment horizontal="center"/>
    </xf>
    <xf numFmtId="0" fontId="10" fillId="9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0" fontId="17" fillId="9" borderId="2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9" fillId="0" borderId="0" pivotButton="0" quotePrefix="0" xfId="0"/>
    <xf numFmtId="0" fontId="18" fillId="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0" fillId="10" borderId="0" applyAlignment="1" pivotButton="0" quotePrefix="0" xfId="0">
      <alignment horizontal="center"/>
    </xf>
    <xf numFmtId="0" fontId="15" fillId="0" borderId="0" pivotButton="0" quotePrefix="0" xfId="0"/>
    <xf numFmtId="0" fontId="18" fillId="9" borderId="2" applyAlignment="1" pivotButton="0" quotePrefix="0" xfId="0">
      <alignment horizontal="center"/>
    </xf>
    <xf numFmtId="0" fontId="17" fillId="0" borderId="2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NL — Scenario Planning</t>
        </is>
      </c>
    </row>
    <row r="3">
      <c r="A3" s="2" t="inlineStr">
        <is>
          <t>LEGENDA — Hoe deze sheet te lezen</t>
        </is>
      </c>
    </row>
    <row r="4">
      <c r="A4" s="3" t="inlineStr">
        <is>
          <t>Gele cellen = invoer (aanpasbaar).</t>
        </is>
      </c>
    </row>
    <row r="5">
      <c r="A5" s="3" t="inlineStr">
        <is>
          <t>Groene cellen = formules (cumulatief, totalen) — niet handmatig wijzigen.</t>
        </is>
      </c>
    </row>
    <row r="6">
      <c r="A6" s="3" t="inlineStr">
        <is>
          <t>ARR Budget = basis target (Koen). ARR Stretch = ambitieus target (tussen haakjes).</t>
        </is>
      </c>
    </row>
    <row r="7">
      <c r="A7" s="3" t="inlineStr">
        <is>
          <t>Ramp NL: 15K (maand 1) → 30K (maand 2) → 50K (maand 3+) per AE.</t>
        </is>
      </c>
    </row>
    <row r="8">
      <c r="A8" s="3" t="inlineStr">
        <is>
          <t>Bedragen in miljoenen EUR.</t>
        </is>
      </c>
    </row>
    <row r="10">
      <c r="A10" s="2" t="inlineStr">
        <is>
          <t>HIRING PLAN</t>
        </is>
      </c>
    </row>
    <row r="11">
      <c r="A11" s="5" t="inlineStr">
        <is>
          <t>NL sales hiring stopt na september</t>
        </is>
      </c>
    </row>
    <row r="12">
      <c r="A12" s="6" t="inlineStr">
        <is>
          <t>Rol</t>
        </is>
      </c>
      <c r="B12" s="6" t="inlineStr">
        <is>
          <t>Type</t>
        </is>
      </c>
      <c r="C12" s="6" t="inlineStr">
        <is>
          <t>April</t>
        </is>
      </c>
      <c r="D12" s="6" t="inlineStr">
        <is>
          <t>May</t>
        </is>
      </c>
      <c r="E12" s="6" t="inlineStr">
        <is>
          <t>June</t>
        </is>
      </c>
      <c r="F12" s="6" t="inlineStr">
        <is>
          <t>July</t>
        </is>
      </c>
      <c r="G12" s="6" t="inlineStr">
        <is>
          <t>August</t>
        </is>
      </c>
      <c r="H12" s="6" t="inlineStr">
        <is>
          <t>September</t>
        </is>
      </c>
      <c r="I12" s="6" t="inlineStr">
        <is>
          <t>October</t>
        </is>
      </c>
      <c r="J12" s="6" t="inlineStr">
        <is>
          <t>November</t>
        </is>
      </c>
      <c r="K12" s="6" t="inlineStr">
        <is>
          <t>December</t>
        </is>
      </c>
      <c r="L12" s="6" t="inlineStr">
        <is>
          <t>Totaal</t>
        </is>
      </c>
    </row>
    <row r="13">
      <c r="A13" s="7" t="inlineStr">
        <is>
          <t>BDR</t>
        </is>
      </c>
      <c r="B13" s="8" t="inlineStr">
        <is>
          <t>New Hires</t>
        </is>
      </c>
      <c r="C13" s="9" t="n">
        <v>0</v>
      </c>
      <c r="D13" s="9" t="n">
        <v>3</v>
      </c>
      <c r="E13" s="9" t="n">
        <v>6</v>
      </c>
      <c r="F13" s="9" t="n">
        <v>8</v>
      </c>
      <c r="G13" s="9" t="n">
        <v>8</v>
      </c>
      <c r="H13" s="9" t="n">
        <v>8</v>
      </c>
      <c r="I13" s="9" t="n">
        <v>0</v>
      </c>
      <c r="J13" s="9" t="n">
        <v>0</v>
      </c>
      <c r="K13" s="9" t="n">
        <v>0</v>
      </c>
      <c r="L13" s="10">
        <f>SUM(C13:K13)</f>
        <v/>
      </c>
    </row>
    <row r="14">
      <c r="A14" s="8" t="n"/>
      <c r="B14" s="8" t="inlineStr">
        <is>
          <t>Cumulatief</t>
        </is>
      </c>
      <c r="C14" s="10">
        <f>C13</f>
        <v/>
      </c>
      <c r="D14" s="10">
        <f>C14+D13</f>
        <v/>
      </c>
      <c r="E14" s="10">
        <f>D14+E13</f>
        <v/>
      </c>
      <c r="F14" s="10">
        <f>E14+F13</f>
        <v/>
      </c>
      <c r="G14" s="10">
        <f>F14+G13</f>
        <v/>
      </c>
      <c r="H14" s="10">
        <f>G14+H13</f>
        <v/>
      </c>
      <c r="I14" s="10">
        <f>H14+I13</f>
        <v/>
      </c>
      <c r="J14" s="10">
        <f>I14+J13</f>
        <v/>
      </c>
      <c r="K14" s="10">
        <f>J14+K13</f>
        <v/>
      </c>
      <c r="L14" s="8" t="n"/>
    </row>
    <row r="15">
      <c r="A15" s="7" t="inlineStr">
        <is>
          <t>AE</t>
        </is>
      </c>
      <c r="B15" s="8" t="inlineStr">
        <is>
          <t>New Hires</t>
        </is>
      </c>
      <c r="C15" s="9" t="n">
        <v>0</v>
      </c>
      <c r="D15" s="9" t="n">
        <v>3</v>
      </c>
      <c r="E15" s="9" t="n">
        <v>8</v>
      </c>
      <c r="F15" s="9" t="n">
        <v>8</v>
      </c>
      <c r="G15" s="9" t="n">
        <v>8</v>
      </c>
      <c r="H15" s="9" t="n">
        <v>8</v>
      </c>
      <c r="I15" s="9" t="n">
        <v>0</v>
      </c>
      <c r="J15" s="9" t="n">
        <v>0</v>
      </c>
      <c r="K15" s="9" t="n">
        <v>0</v>
      </c>
      <c r="L15" s="10">
        <f>SUM(C15:K15)</f>
        <v/>
      </c>
    </row>
    <row r="16">
      <c r="A16" s="8" t="n"/>
      <c r="B16" s="8" t="inlineStr">
        <is>
          <t>Cumulatief</t>
        </is>
      </c>
      <c r="C16" s="10">
        <f>C15</f>
        <v/>
      </c>
      <c r="D16" s="10">
        <f>C16+D15</f>
        <v/>
      </c>
      <c r="E16" s="10">
        <f>D16+E15</f>
        <v/>
      </c>
      <c r="F16" s="10">
        <f>E16+F15</f>
        <v/>
      </c>
      <c r="G16" s="10">
        <f>F16+G15</f>
        <v/>
      </c>
      <c r="H16" s="10">
        <f>G16+H15</f>
        <v/>
      </c>
      <c r="I16" s="10">
        <f>H16+I15</f>
        <v/>
      </c>
      <c r="J16" s="10">
        <f>I16+J15</f>
        <v/>
      </c>
      <c r="K16" s="10">
        <f>J16+K15</f>
        <v/>
      </c>
      <c r="L16" s="8" t="n"/>
    </row>
    <row r="17">
      <c r="A17" s="7" t="inlineStr">
        <is>
          <t>Totaal</t>
        </is>
      </c>
      <c r="B17" s="8" t="inlineStr">
        <is>
          <t>New Hires</t>
        </is>
      </c>
      <c r="C17" s="10">
        <f>C13+C15</f>
        <v/>
      </c>
      <c r="D17" s="10">
        <f>D13+D15</f>
        <v/>
      </c>
      <c r="E17" s="10">
        <f>E13+E15</f>
        <v/>
      </c>
      <c r="F17" s="10">
        <f>F13+F15</f>
        <v/>
      </c>
      <c r="G17" s="10">
        <f>G13+G15</f>
        <v/>
      </c>
      <c r="H17" s="10">
        <f>H13+H15</f>
        <v/>
      </c>
      <c r="I17" s="10">
        <f>I13+I15</f>
        <v/>
      </c>
      <c r="J17" s="10">
        <f>J13+J15</f>
        <v/>
      </c>
      <c r="K17" s="10">
        <f>K13+K15</f>
        <v/>
      </c>
      <c r="L17" s="10">
        <f>SUM(C17:K17)</f>
        <v/>
      </c>
    </row>
    <row r="18">
      <c r="A18" s="8" t="n"/>
      <c r="B18" s="8" t="inlineStr">
        <is>
          <t>Cumulatief</t>
        </is>
      </c>
      <c r="C18" s="10">
        <f>C17</f>
        <v/>
      </c>
      <c r="D18" s="10">
        <f>C18+D17</f>
        <v/>
      </c>
      <c r="E18" s="10">
        <f>D18+E17</f>
        <v/>
      </c>
      <c r="F18" s="10">
        <f>E18+F17</f>
        <v/>
      </c>
      <c r="G18" s="10">
        <f>F18+G17</f>
        <v/>
      </c>
      <c r="H18" s="10">
        <f>G18+H17</f>
        <v/>
      </c>
      <c r="I18" s="10">
        <f>H18+I17</f>
        <v/>
      </c>
      <c r="J18" s="10">
        <f>I18+J17</f>
        <v/>
      </c>
      <c r="K18" s="10">
        <f>J18+K17</f>
        <v/>
      </c>
      <c r="L18" s="8" t="n"/>
    </row>
    <row r="20">
      <c r="A20" s="2" t="inlineStr">
        <is>
          <t>ARR TARGETS (M EUR)</t>
        </is>
      </c>
    </row>
    <row r="21">
      <c r="A21" s="6" t="inlineStr">
        <is>
          <t>Metric</t>
        </is>
      </c>
      <c r="B21" s="6" t="n"/>
      <c r="C21" s="6" t="inlineStr">
        <is>
          <t>April</t>
        </is>
      </c>
      <c r="D21" s="6" t="inlineStr">
        <is>
          <t>May</t>
        </is>
      </c>
      <c r="E21" s="6" t="inlineStr">
        <is>
          <t>June</t>
        </is>
      </c>
      <c r="F21" s="6" t="inlineStr">
        <is>
          <t>July</t>
        </is>
      </c>
      <c r="G21" s="6" t="inlineStr">
        <is>
          <t>August</t>
        </is>
      </c>
      <c r="H21" s="6" t="inlineStr">
        <is>
          <t>September</t>
        </is>
      </c>
      <c r="I21" s="6" t="inlineStr">
        <is>
          <t>October</t>
        </is>
      </c>
      <c r="J21" s="6" t="inlineStr">
        <is>
          <t>November</t>
        </is>
      </c>
      <c r="K21" s="6" t="inlineStr">
        <is>
          <t>December</t>
        </is>
      </c>
      <c r="L21" s="6" t="inlineStr">
        <is>
          <t>Totaal</t>
        </is>
      </c>
    </row>
    <row r="22">
      <c r="A22" s="7" t="inlineStr">
        <is>
          <t>ARR Budget</t>
        </is>
      </c>
      <c r="B22" s="8" t="n"/>
      <c r="C22" s="11" t="n">
        <v>1</v>
      </c>
      <c r="D22" s="11" t="n">
        <v>1</v>
      </c>
      <c r="E22" s="11" t="n">
        <v>1</v>
      </c>
      <c r="F22" s="11" t="n">
        <v>1.1</v>
      </c>
      <c r="G22" s="11" t="n">
        <v>0.9</v>
      </c>
      <c r="H22" s="11" t="n">
        <v>1.45</v>
      </c>
      <c r="I22" s="11" t="n">
        <v>1.5</v>
      </c>
      <c r="J22" s="11" t="n">
        <v>1.5</v>
      </c>
      <c r="K22" s="11" t="n">
        <v>1.45</v>
      </c>
      <c r="L22" s="12">
        <f>SUM(C22:K22)</f>
        <v/>
      </c>
    </row>
    <row r="23">
      <c r="A23" s="7" t="inlineStr">
        <is>
          <t>ARR Stretch</t>
        </is>
      </c>
      <c r="B23" s="8" t="n"/>
      <c r="C23" s="9" t="n"/>
      <c r="D23" s="11" t="n">
        <v>1.1</v>
      </c>
      <c r="E23" s="11" t="n">
        <v>1.1</v>
      </c>
      <c r="F23" s="11" t="n">
        <v>1.3</v>
      </c>
      <c r="G23" s="11" t="n">
        <v>1.3</v>
      </c>
      <c r="H23" s="11" t="n">
        <v>1.7</v>
      </c>
      <c r="I23" s="11" t="n">
        <v>1.7</v>
      </c>
      <c r="J23" s="11" t="n">
        <v>1.7</v>
      </c>
      <c r="K23" s="11" t="n">
        <v>1.7</v>
      </c>
      <c r="L23" s="12">
        <f>SUM(C23:K23)</f>
        <v/>
      </c>
    </row>
    <row r="24">
      <c r="A24" s="7" t="inlineStr">
        <is>
          <t>SQLs</t>
        </is>
      </c>
      <c r="B24" s="8" t="n"/>
      <c r="C24" s="13" t="n">
        <v>900</v>
      </c>
      <c r="D24" s="13" t="n">
        <v>1050</v>
      </c>
      <c r="E24" s="13" t="n">
        <v>1200</v>
      </c>
      <c r="F24" s="9" t="n"/>
      <c r="G24" s="9" t="n"/>
      <c r="H24" s="9" t="n"/>
      <c r="I24" s="9" t="n"/>
      <c r="J24" s="9" t="n"/>
      <c r="K24" s="9" t="n"/>
      <c r="L24" s="8" t="n"/>
    </row>
  </sheetData>
  <mergeCells count="6">
    <mergeCell ref="A7:L7"/>
    <mergeCell ref="A1:L1"/>
    <mergeCell ref="A5:L5"/>
    <mergeCell ref="A8:L8"/>
    <mergeCell ref="A6:L6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DE — Scenario Planning (3 scenario's)</t>
        </is>
      </c>
    </row>
    <row r="3">
      <c r="A3" s="2" t="inlineStr">
        <is>
          <t>LEGENDA — Hoe deze sheet te lezen</t>
        </is>
      </c>
    </row>
    <row r="4">
      <c r="A4" s="3" t="inlineStr">
        <is>
          <t>Gele cellen = invoer (aanpasbaar).</t>
        </is>
      </c>
    </row>
    <row r="5">
      <c r="A5" s="3" t="inlineStr">
        <is>
          <t>Groene cellen = formules (cumulatief, totalen) — niet handmatig wijzigen.</t>
        </is>
      </c>
    </row>
    <row r="6">
      <c r="A6" s="3" t="inlineStr">
        <is>
          <t>3 scenario's: S1 Baseline, S2 Hyper Growth, S3 Growth.</t>
        </is>
      </c>
    </row>
    <row r="7">
      <c r="A7" s="3" t="inlineStr">
        <is>
          <t>ARR Budget = basis target. ARR Stretch = ambitieus target (tussen haakjes).</t>
        </is>
      </c>
    </row>
    <row r="8">
      <c r="A8" s="3" t="inlineStr">
        <is>
          <t>Ramp DE: 10K (maand 1) → 20K (maand 2) → 30K (maand 3+) per AE.</t>
        </is>
      </c>
    </row>
    <row r="9">
      <c r="A9" s="3" t="inlineStr">
        <is>
          <t>Bedragen in miljoenen EUR.</t>
        </is>
      </c>
    </row>
    <row r="10">
      <c r="A10" s="3" t="inlineStr">
        <is>
          <t>Challenges (Koen): 1) Data-infrastructuur  2) Voldoende managers.</t>
        </is>
      </c>
    </row>
    <row r="12">
      <c r="A12" s="14" t="inlineStr">
        <is>
          <t>SCENARIO 1: BASELINE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4">
      <c r="A14" s="2" t="inlineStr">
        <is>
          <t>Hiring Plan</t>
        </is>
      </c>
    </row>
    <row r="15">
      <c r="A15" s="6" t="inlineStr">
        <is>
          <t>Rol</t>
        </is>
      </c>
      <c r="B15" s="6" t="inlineStr">
        <is>
          <t>Type</t>
        </is>
      </c>
      <c r="C15" s="6" t="inlineStr">
        <is>
          <t>April</t>
        </is>
      </c>
      <c r="D15" s="6" t="inlineStr">
        <is>
          <t>May</t>
        </is>
      </c>
      <c r="E15" s="6" t="inlineStr">
        <is>
          <t>June</t>
        </is>
      </c>
      <c r="F15" s="6" t="inlineStr">
        <is>
          <t>July</t>
        </is>
      </c>
      <c r="G15" s="6" t="inlineStr">
        <is>
          <t>August</t>
        </is>
      </c>
      <c r="H15" s="6" t="inlineStr">
        <is>
          <t>September</t>
        </is>
      </c>
      <c r="I15" s="6" t="inlineStr">
        <is>
          <t>October</t>
        </is>
      </c>
      <c r="J15" s="6" t="inlineStr">
        <is>
          <t>November</t>
        </is>
      </c>
      <c r="K15" s="6" t="inlineStr">
        <is>
          <t>December</t>
        </is>
      </c>
      <c r="L15" s="6" t="inlineStr">
        <is>
          <t>Totaal</t>
        </is>
      </c>
    </row>
    <row r="16">
      <c r="A16" s="7" t="inlineStr">
        <is>
          <t>BDR</t>
        </is>
      </c>
      <c r="B16" s="8" t="inlineStr">
        <is>
          <t>New Hires</t>
        </is>
      </c>
      <c r="C16" s="9" t="n">
        <v>4</v>
      </c>
      <c r="D16" s="9" t="n">
        <v>3</v>
      </c>
      <c r="E16" s="9" t="n">
        <v>4</v>
      </c>
      <c r="F16" s="9" t="n">
        <v>4</v>
      </c>
      <c r="G16" s="9" t="n">
        <v>4</v>
      </c>
      <c r="H16" s="9" t="n">
        <v>4</v>
      </c>
      <c r="I16" s="9" t="n">
        <v>4</v>
      </c>
      <c r="J16" s="9" t="n">
        <v>4</v>
      </c>
      <c r="K16" s="9" t="n">
        <v>4</v>
      </c>
      <c r="L16" s="10">
        <f>SUM(C16:K16)</f>
        <v/>
      </c>
    </row>
    <row r="17">
      <c r="A17" s="8" t="n"/>
      <c r="B17" s="8" t="inlineStr">
        <is>
          <t>Cumulatief</t>
        </is>
      </c>
      <c r="C17" s="10">
        <f>C16</f>
        <v/>
      </c>
      <c r="D17" s="10">
        <f>C17+D16</f>
        <v/>
      </c>
      <c r="E17" s="10">
        <f>D17+E16</f>
        <v/>
      </c>
      <c r="F17" s="10">
        <f>E17+F16</f>
        <v/>
      </c>
      <c r="G17" s="10">
        <f>F17+G16</f>
        <v/>
      </c>
      <c r="H17" s="10">
        <f>G17+H16</f>
        <v/>
      </c>
      <c r="I17" s="10">
        <f>H17+I16</f>
        <v/>
      </c>
      <c r="J17" s="10">
        <f>I17+J16</f>
        <v/>
      </c>
      <c r="K17" s="10">
        <f>J17+K16</f>
        <v/>
      </c>
      <c r="L17" s="8" t="n"/>
    </row>
    <row r="18">
      <c r="A18" s="7" t="inlineStr">
        <is>
          <t>AE</t>
        </is>
      </c>
      <c r="B18" s="8" t="inlineStr">
        <is>
          <t>New Hires</t>
        </is>
      </c>
      <c r="C18" s="9" t="n">
        <v>2</v>
      </c>
      <c r="D18" s="9" t="n">
        <v>3</v>
      </c>
      <c r="E18" s="9" t="n">
        <v>4</v>
      </c>
      <c r="F18" s="9" t="n">
        <v>4</v>
      </c>
      <c r="G18" s="9" t="n">
        <v>4</v>
      </c>
      <c r="H18" s="9" t="n">
        <v>4</v>
      </c>
      <c r="I18" s="9" t="n">
        <v>4</v>
      </c>
      <c r="J18" s="9" t="n">
        <v>4</v>
      </c>
      <c r="K18" s="9" t="n">
        <v>4</v>
      </c>
      <c r="L18" s="10">
        <f>SUM(C18:K18)</f>
        <v/>
      </c>
    </row>
    <row r="19">
      <c r="A19" s="8" t="n"/>
      <c r="B19" s="8" t="inlineStr">
        <is>
          <t>Cumulatief</t>
        </is>
      </c>
      <c r="C19" s="10">
        <f>C18</f>
        <v/>
      </c>
      <c r="D19" s="10">
        <f>C19+D18</f>
        <v/>
      </c>
      <c r="E19" s="10">
        <f>D19+E18</f>
        <v/>
      </c>
      <c r="F19" s="10">
        <f>E19+F18</f>
        <v/>
      </c>
      <c r="G19" s="10">
        <f>F19+G18</f>
        <v/>
      </c>
      <c r="H19" s="10">
        <f>G19+H18</f>
        <v/>
      </c>
      <c r="I19" s="10">
        <f>H19+I18</f>
        <v/>
      </c>
      <c r="J19" s="10">
        <f>I19+J18</f>
        <v/>
      </c>
      <c r="K19" s="10">
        <f>J19+K18</f>
        <v/>
      </c>
      <c r="L19" s="8" t="n"/>
    </row>
    <row r="20">
      <c r="A20" s="7" t="inlineStr">
        <is>
          <t>Totaal</t>
        </is>
      </c>
      <c r="B20" s="8" t="inlineStr">
        <is>
          <t>New Hires</t>
        </is>
      </c>
      <c r="C20" s="10">
        <f>C16+C18</f>
        <v/>
      </c>
      <c r="D20" s="10">
        <f>D16+D18</f>
        <v/>
      </c>
      <c r="E20" s="10">
        <f>E16+E18</f>
        <v/>
      </c>
      <c r="F20" s="10">
        <f>F16+F18</f>
        <v/>
      </c>
      <c r="G20" s="10">
        <f>G16+G18</f>
        <v/>
      </c>
      <c r="H20" s="10">
        <f>H16+H18</f>
        <v/>
      </c>
      <c r="I20" s="10">
        <f>I16+I18</f>
        <v/>
      </c>
      <c r="J20" s="10">
        <f>J16+J18</f>
        <v/>
      </c>
      <c r="K20" s="10">
        <f>K16+K18</f>
        <v/>
      </c>
      <c r="L20" s="10">
        <f>SUM(C20:K20)</f>
        <v/>
      </c>
    </row>
    <row r="21">
      <c r="A21" s="8" t="n"/>
      <c r="B21" s="8" t="inlineStr">
        <is>
          <t>Cumulatief</t>
        </is>
      </c>
      <c r="C21" s="10">
        <f>C20</f>
        <v/>
      </c>
      <c r="D21" s="10">
        <f>C21+D20</f>
        <v/>
      </c>
      <c r="E21" s="10">
        <f>D21+E20</f>
        <v/>
      </c>
      <c r="F21" s="10">
        <f>E21+F20</f>
        <v/>
      </c>
      <c r="G21" s="10">
        <f>F21+G20</f>
        <v/>
      </c>
      <c r="H21" s="10">
        <f>G21+H20</f>
        <v/>
      </c>
      <c r="I21" s="10">
        <f>H21+I20</f>
        <v/>
      </c>
      <c r="J21" s="10">
        <f>I21+J20</f>
        <v/>
      </c>
      <c r="K21" s="10">
        <f>J21+K20</f>
        <v/>
      </c>
      <c r="L21" s="8" t="n"/>
    </row>
    <row r="23">
      <c r="A23" s="2" t="inlineStr">
        <is>
          <t>ARR Targets (M EUR)</t>
        </is>
      </c>
    </row>
    <row r="24">
      <c r="A24" s="6" t="inlineStr">
        <is>
          <t>Metric</t>
        </is>
      </c>
      <c r="B24" s="6" t="n"/>
      <c r="C24" s="6" t="inlineStr">
        <is>
          <t>April</t>
        </is>
      </c>
      <c r="D24" s="6" t="inlineStr">
        <is>
          <t>May</t>
        </is>
      </c>
      <c r="E24" s="6" t="inlineStr">
        <is>
          <t>June</t>
        </is>
      </c>
      <c r="F24" s="6" t="inlineStr">
        <is>
          <t>July</t>
        </is>
      </c>
      <c r="G24" s="6" t="inlineStr">
        <is>
          <t>August</t>
        </is>
      </c>
      <c r="H24" s="6" t="inlineStr">
        <is>
          <t>September</t>
        </is>
      </c>
      <c r="I24" s="6" t="inlineStr">
        <is>
          <t>October</t>
        </is>
      </c>
      <c r="J24" s="6" t="inlineStr">
        <is>
          <t>November</t>
        </is>
      </c>
      <c r="K24" s="6" t="inlineStr">
        <is>
          <t>December</t>
        </is>
      </c>
      <c r="L24" s="6" t="inlineStr">
        <is>
          <t>Totaal</t>
        </is>
      </c>
    </row>
    <row r="25">
      <c r="A25" s="7" t="inlineStr">
        <is>
          <t>ARR Budget</t>
        </is>
      </c>
      <c r="B25" s="8" t="n"/>
      <c r="C25" s="11" t="n">
        <v>0.21</v>
      </c>
      <c r="D25" s="11" t="n">
        <v>0.24</v>
      </c>
      <c r="E25" s="11" t="n">
        <v>0.27</v>
      </c>
      <c r="F25" s="11" t="n">
        <v>0.31</v>
      </c>
      <c r="G25" s="11" t="n">
        <v>0.28</v>
      </c>
      <c r="H25" s="11" t="n">
        <v>0.47</v>
      </c>
      <c r="I25" s="11" t="n">
        <v>0.52</v>
      </c>
      <c r="J25" s="11" t="n">
        <v>0.55</v>
      </c>
      <c r="K25" s="11" t="n">
        <v>0.55</v>
      </c>
      <c r="L25" s="12">
        <f>SUM(C25:K25)</f>
        <v/>
      </c>
    </row>
    <row r="26">
      <c r="A26" s="7" t="inlineStr">
        <is>
          <t>ARR Stretch</t>
        </is>
      </c>
      <c r="B26" s="8" t="n"/>
      <c r="C26" s="11" t="n">
        <v>0.26</v>
      </c>
      <c r="D26" s="11" t="n">
        <v>0.4</v>
      </c>
      <c r="E26" s="11" t="n">
        <v>0.4</v>
      </c>
      <c r="F26" s="11" t="n">
        <v>0.5</v>
      </c>
      <c r="G26" s="11" t="n">
        <v>0.6</v>
      </c>
      <c r="H26" s="11" t="n">
        <v>0.65</v>
      </c>
      <c r="I26" s="11" t="n">
        <v>0.75</v>
      </c>
      <c r="J26" s="11" t="n">
        <v>0.85</v>
      </c>
      <c r="K26" s="11" t="n">
        <v>1</v>
      </c>
      <c r="L26" s="12">
        <f>SUM(C26:K26)</f>
        <v/>
      </c>
    </row>
    <row r="27">
      <c r="A27" s="7" t="inlineStr">
        <is>
          <t>SQLs</t>
        </is>
      </c>
      <c r="B27" s="8" t="n"/>
      <c r="C27" s="13" t="n">
        <v>370</v>
      </c>
      <c r="D27" s="9" t="n"/>
      <c r="E27" s="9" t="n"/>
      <c r="F27" s="9" t="n"/>
      <c r="G27" s="9" t="n"/>
      <c r="H27" s="9" t="n"/>
      <c r="I27" s="9" t="n"/>
      <c r="J27" s="9" t="n"/>
      <c r="K27" s="9" t="n"/>
      <c r="L27" s="8" t="n"/>
    </row>
    <row r="28">
      <c r="A28" s="7" t="inlineStr">
        <is>
          <t>Mango Leads</t>
        </is>
      </c>
      <c r="B28" s="8" t="n"/>
      <c r="C28" s="13" t="n">
        <v>100</v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8" t="n"/>
    </row>
    <row r="31">
      <c r="A31" s="14" t="inlineStr">
        <is>
          <t>SCENARIO 2: HYPER GROWTH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3">
      <c r="A33" s="2" t="inlineStr">
        <is>
          <t>Hiring Plan</t>
        </is>
      </c>
    </row>
    <row r="34">
      <c r="A34" s="6" t="inlineStr">
        <is>
          <t>Rol</t>
        </is>
      </c>
      <c r="B34" s="6" t="inlineStr">
        <is>
          <t>Type</t>
        </is>
      </c>
      <c r="C34" s="6" t="inlineStr">
        <is>
          <t>April</t>
        </is>
      </c>
      <c r="D34" s="6" t="inlineStr">
        <is>
          <t>May</t>
        </is>
      </c>
      <c r="E34" s="6" t="inlineStr">
        <is>
          <t>June</t>
        </is>
      </c>
      <c r="F34" s="6" t="inlineStr">
        <is>
          <t>July</t>
        </is>
      </c>
      <c r="G34" s="6" t="inlineStr">
        <is>
          <t>August</t>
        </is>
      </c>
      <c r="H34" s="6" t="inlineStr">
        <is>
          <t>September</t>
        </is>
      </c>
      <c r="I34" s="6" t="inlineStr">
        <is>
          <t>October</t>
        </is>
      </c>
      <c r="J34" s="6" t="inlineStr">
        <is>
          <t>November</t>
        </is>
      </c>
      <c r="K34" s="6" t="inlineStr">
        <is>
          <t>December</t>
        </is>
      </c>
      <c r="L34" s="6" t="inlineStr">
        <is>
          <t>Totaal</t>
        </is>
      </c>
    </row>
    <row r="35">
      <c r="A35" s="7" t="inlineStr">
        <is>
          <t>BDR</t>
        </is>
      </c>
      <c r="B35" s="8" t="inlineStr">
        <is>
          <t>New Hires</t>
        </is>
      </c>
      <c r="C35" s="9" t="n">
        <v>4</v>
      </c>
      <c r="D35" s="9" t="n">
        <v>3</v>
      </c>
      <c r="E35" s="9" t="n">
        <v>6</v>
      </c>
      <c r="F35" s="9" t="n">
        <v>6</v>
      </c>
      <c r="G35" s="9" t="n">
        <v>8</v>
      </c>
      <c r="H35" s="9" t="n">
        <v>8</v>
      </c>
      <c r="I35" s="9" t="n">
        <v>8</v>
      </c>
      <c r="J35" s="9" t="n">
        <v>8</v>
      </c>
      <c r="K35" s="9" t="n">
        <v>8</v>
      </c>
      <c r="L35" s="10">
        <f>SUM(C35:K35)</f>
        <v/>
      </c>
    </row>
    <row r="36">
      <c r="A36" s="8" t="n"/>
      <c r="B36" s="8" t="inlineStr">
        <is>
          <t>Cumulatief</t>
        </is>
      </c>
      <c r="C36" s="10">
        <f>C35</f>
        <v/>
      </c>
      <c r="D36" s="10">
        <f>C36+D35</f>
        <v/>
      </c>
      <c r="E36" s="10">
        <f>D36+E35</f>
        <v/>
      </c>
      <c r="F36" s="10">
        <f>E36+F35</f>
        <v/>
      </c>
      <c r="G36" s="10">
        <f>F36+G35</f>
        <v/>
      </c>
      <c r="H36" s="10">
        <f>G36+H35</f>
        <v/>
      </c>
      <c r="I36" s="10">
        <f>H36+I35</f>
        <v/>
      </c>
      <c r="J36" s="10">
        <f>I36+J35</f>
        <v/>
      </c>
      <c r="K36" s="10">
        <f>J36+K35</f>
        <v/>
      </c>
      <c r="L36" s="8" t="n"/>
    </row>
    <row r="37">
      <c r="A37" s="7" t="inlineStr">
        <is>
          <t>AE</t>
        </is>
      </c>
      <c r="B37" s="8" t="inlineStr">
        <is>
          <t>New Hires</t>
        </is>
      </c>
      <c r="C37" s="9" t="n">
        <v>2</v>
      </c>
      <c r="D37" s="9" t="n">
        <v>3</v>
      </c>
      <c r="E37" s="9" t="n">
        <v>6</v>
      </c>
      <c r="F37" s="9" t="n">
        <v>6</v>
      </c>
      <c r="G37" s="9" t="n">
        <v>8</v>
      </c>
      <c r="H37" s="9" t="n">
        <v>8</v>
      </c>
      <c r="I37" s="9" t="n">
        <v>8</v>
      </c>
      <c r="J37" s="9" t="n">
        <v>8</v>
      </c>
      <c r="K37" s="9" t="n">
        <v>8</v>
      </c>
      <c r="L37" s="10">
        <f>SUM(C37:K37)</f>
        <v/>
      </c>
    </row>
    <row r="38">
      <c r="A38" s="8" t="n"/>
      <c r="B38" s="8" t="inlineStr">
        <is>
          <t>Cumulatief</t>
        </is>
      </c>
      <c r="C38" s="10">
        <f>C37</f>
        <v/>
      </c>
      <c r="D38" s="10">
        <f>C38+D37</f>
        <v/>
      </c>
      <c r="E38" s="10">
        <f>D38+E37</f>
        <v/>
      </c>
      <c r="F38" s="10">
        <f>E38+F37</f>
        <v/>
      </c>
      <c r="G38" s="10">
        <f>F38+G37</f>
        <v/>
      </c>
      <c r="H38" s="10">
        <f>G38+H37</f>
        <v/>
      </c>
      <c r="I38" s="10">
        <f>H38+I37</f>
        <v/>
      </c>
      <c r="J38" s="10">
        <f>I38+J37</f>
        <v/>
      </c>
      <c r="K38" s="10">
        <f>J38+K37</f>
        <v/>
      </c>
      <c r="L38" s="8" t="n"/>
    </row>
    <row r="39">
      <c r="A39" s="7" t="inlineStr">
        <is>
          <t>Totaal</t>
        </is>
      </c>
      <c r="B39" s="8" t="inlineStr">
        <is>
          <t>New Hires</t>
        </is>
      </c>
      <c r="C39" s="10">
        <f>C35+C37</f>
        <v/>
      </c>
      <c r="D39" s="10">
        <f>D35+D37</f>
        <v/>
      </c>
      <c r="E39" s="10">
        <f>E35+E37</f>
        <v/>
      </c>
      <c r="F39" s="10">
        <f>F35+F37</f>
        <v/>
      </c>
      <c r="G39" s="10">
        <f>G35+G37</f>
        <v/>
      </c>
      <c r="H39" s="10">
        <f>H35+H37</f>
        <v/>
      </c>
      <c r="I39" s="10">
        <f>I35+I37</f>
        <v/>
      </c>
      <c r="J39" s="10">
        <f>J35+J37</f>
        <v/>
      </c>
      <c r="K39" s="10">
        <f>K35+K37</f>
        <v/>
      </c>
      <c r="L39" s="10">
        <f>SUM(C39:K39)</f>
        <v/>
      </c>
    </row>
    <row r="40">
      <c r="A40" s="8" t="n"/>
      <c r="B40" s="8" t="inlineStr">
        <is>
          <t>Cumulatief</t>
        </is>
      </c>
      <c r="C40" s="10">
        <f>C39</f>
        <v/>
      </c>
      <c r="D40" s="10">
        <f>C40+D39</f>
        <v/>
      </c>
      <c r="E40" s="10">
        <f>D40+E39</f>
        <v/>
      </c>
      <c r="F40" s="10">
        <f>E40+F39</f>
        <v/>
      </c>
      <c r="G40" s="10">
        <f>F40+G39</f>
        <v/>
      </c>
      <c r="H40" s="10">
        <f>G40+H39</f>
        <v/>
      </c>
      <c r="I40" s="10">
        <f>H40+I39</f>
        <v/>
      </c>
      <c r="J40" s="10">
        <f>I40+J39</f>
        <v/>
      </c>
      <c r="K40" s="10">
        <f>J40+K39</f>
        <v/>
      </c>
      <c r="L40" s="8" t="n"/>
    </row>
    <row r="42">
      <c r="A42" s="2" t="inlineStr">
        <is>
          <t>ARR Targets (M EUR)</t>
        </is>
      </c>
    </row>
    <row r="43">
      <c r="A43" s="6" t="inlineStr">
        <is>
          <t>Metric</t>
        </is>
      </c>
      <c r="B43" s="6" t="n"/>
      <c r="C43" s="6" t="inlineStr">
        <is>
          <t>April</t>
        </is>
      </c>
      <c r="D43" s="6" t="inlineStr">
        <is>
          <t>May</t>
        </is>
      </c>
      <c r="E43" s="6" t="inlineStr">
        <is>
          <t>June</t>
        </is>
      </c>
      <c r="F43" s="6" t="inlineStr">
        <is>
          <t>July</t>
        </is>
      </c>
      <c r="G43" s="6" t="inlineStr">
        <is>
          <t>August</t>
        </is>
      </c>
      <c r="H43" s="6" t="inlineStr">
        <is>
          <t>September</t>
        </is>
      </c>
      <c r="I43" s="6" t="inlineStr">
        <is>
          <t>October</t>
        </is>
      </c>
      <c r="J43" s="6" t="inlineStr">
        <is>
          <t>November</t>
        </is>
      </c>
      <c r="K43" s="6" t="inlineStr">
        <is>
          <t>December</t>
        </is>
      </c>
      <c r="L43" s="6" t="inlineStr">
        <is>
          <t>Totaal</t>
        </is>
      </c>
    </row>
    <row r="44">
      <c r="A44" s="7" t="inlineStr">
        <is>
          <t>ARR Budget</t>
        </is>
      </c>
      <c r="B44" s="8" t="n"/>
      <c r="C44" s="11" t="n">
        <v>0.21</v>
      </c>
      <c r="D44" s="11" t="n">
        <v>0.24</v>
      </c>
      <c r="E44" s="11" t="n">
        <v>0.27</v>
      </c>
      <c r="F44" s="11" t="n">
        <v>0.31</v>
      </c>
      <c r="G44" s="11" t="n">
        <v>0.28</v>
      </c>
      <c r="H44" s="11" t="n">
        <v>0.47</v>
      </c>
      <c r="I44" s="11" t="n">
        <v>0.52</v>
      </c>
      <c r="J44" s="11" t="n">
        <v>0.55</v>
      </c>
      <c r="K44" s="11" t="n">
        <v>0.55</v>
      </c>
      <c r="L44" s="12">
        <f>SUM(C44:K44)</f>
        <v/>
      </c>
    </row>
    <row r="45">
      <c r="A45" s="7" t="inlineStr">
        <is>
          <t>ARR Stretch</t>
        </is>
      </c>
      <c r="B45" s="8" t="n"/>
      <c r="C45" s="11" t="n">
        <v>0.26</v>
      </c>
      <c r="D45" s="11" t="n">
        <v>0.4</v>
      </c>
      <c r="E45" s="11" t="n">
        <v>0.4</v>
      </c>
      <c r="F45" s="11" t="n">
        <v>0.5</v>
      </c>
      <c r="G45" s="11" t="n">
        <v>0.6</v>
      </c>
      <c r="H45" s="11" t="n">
        <v>0.65</v>
      </c>
      <c r="I45" s="11" t="n">
        <v>0.75</v>
      </c>
      <c r="J45" s="11" t="n">
        <v>0.85</v>
      </c>
      <c r="K45" s="11" t="n">
        <v>0.85</v>
      </c>
      <c r="L45" s="12">
        <f>SUM(C45:K45)</f>
        <v/>
      </c>
    </row>
    <row r="46">
      <c r="A46" s="7" t="inlineStr">
        <is>
          <t>SQLs</t>
        </is>
      </c>
      <c r="B46" s="8" t="n"/>
      <c r="C46" s="13" t="n">
        <v>370</v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8" t="n"/>
    </row>
    <row r="47">
      <c r="A47" s="7" t="inlineStr">
        <is>
          <t>Mango Leads</t>
        </is>
      </c>
      <c r="B47" s="8" t="n"/>
      <c r="C47" s="13" t="n">
        <v>100</v>
      </c>
      <c r="D47" s="9" t="n"/>
      <c r="E47" s="9" t="n"/>
      <c r="F47" s="9" t="n"/>
      <c r="G47" s="9" t="n"/>
      <c r="H47" s="9" t="n"/>
      <c r="I47" s="9" t="n"/>
      <c r="J47" s="9" t="n"/>
      <c r="K47" s="9" t="n"/>
      <c r="L47" s="8" t="n"/>
    </row>
    <row r="50">
      <c r="A50" s="14" t="inlineStr">
        <is>
          <t>SCENARIO 3: GROWTH</t>
        </is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2">
      <c r="A52" s="2" t="inlineStr">
        <is>
          <t>Hiring Plan</t>
        </is>
      </c>
    </row>
    <row r="53">
      <c r="A53" s="6" t="inlineStr">
        <is>
          <t>Rol</t>
        </is>
      </c>
      <c r="B53" s="6" t="inlineStr">
        <is>
          <t>Type</t>
        </is>
      </c>
      <c r="C53" s="6" t="inlineStr">
        <is>
          <t>April</t>
        </is>
      </c>
      <c r="D53" s="6" t="inlineStr">
        <is>
          <t>May</t>
        </is>
      </c>
      <c r="E53" s="6" t="inlineStr">
        <is>
          <t>June</t>
        </is>
      </c>
      <c r="F53" s="6" t="inlineStr">
        <is>
          <t>July</t>
        </is>
      </c>
      <c r="G53" s="6" t="inlineStr">
        <is>
          <t>August</t>
        </is>
      </c>
      <c r="H53" s="6" t="inlineStr">
        <is>
          <t>September</t>
        </is>
      </c>
      <c r="I53" s="6" t="inlineStr">
        <is>
          <t>October</t>
        </is>
      </c>
      <c r="J53" s="6" t="inlineStr">
        <is>
          <t>November</t>
        </is>
      </c>
      <c r="K53" s="6" t="inlineStr">
        <is>
          <t>December</t>
        </is>
      </c>
      <c r="L53" s="6" t="inlineStr">
        <is>
          <t>Totaal</t>
        </is>
      </c>
    </row>
    <row r="54">
      <c r="A54" s="7" t="inlineStr">
        <is>
          <t>BDR</t>
        </is>
      </c>
      <c r="B54" s="8" t="inlineStr">
        <is>
          <t>New Hires</t>
        </is>
      </c>
      <c r="C54" s="9" t="n">
        <v>4</v>
      </c>
      <c r="D54" s="9" t="n">
        <v>3</v>
      </c>
      <c r="E54" s="9" t="n">
        <v>6</v>
      </c>
      <c r="F54" s="9" t="n">
        <v>6</v>
      </c>
      <c r="G54" s="9" t="n">
        <v>6</v>
      </c>
      <c r="H54" s="9" t="n">
        <v>6</v>
      </c>
      <c r="I54" s="9" t="n">
        <v>6</v>
      </c>
      <c r="J54" s="9" t="n">
        <v>6</v>
      </c>
      <c r="K54" s="9" t="n">
        <v>6</v>
      </c>
      <c r="L54" s="10">
        <f>SUM(C54:K54)</f>
        <v/>
      </c>
    </row>
    <row r="55">
      <c r="A55" s="8" t="n"/>
      <c r="B55" s="8" t="inlineStr">
        <is>
          <t>Cumulatief</t>
        </is>
      </c>
      <c r="C55" s="10">
        <f>C54</f>
        <v/>
      </c>
      <c r="D55" s="10">
        <f>C55+D54</f>
        <v/>
      </c>
      <c r="E55" s="10">
        <f>D55+E54</f>
        <v/>
      </c>
      <c r="F55" s="10">
        <f>E55+F54</f>
        <v/>
      </c>
      <c r="G55" s="10">
        <f>F55+G54</f>
        <v/>
      </c>
      <c r="H55" s="10">
        <f>G55+H54</f>
        <v/>
      </c>
      <c r="I55" s="10">
        <f>H55+I54</f>
        <v/>
      </c>
      <c r="J55" s="10">
        <f>I55+J54</f>
        <v/>
      </c>
      <c r="K55" s="10">
        <f>J55+K54</f>
        <v/>
      </c>
      <c r="L55" s="8" t="n"/>
    </row>
    <row r="56">
      <c r="A56" s="7" t="inlineStr">
        <is>
          <t>AE</t>
        </is>
      </c>
      <c r="B56" s="8" t="inlineStr">
        <is>
          <t>New Hires</t>
        </is>
      </c>
      <c r="C56" s="9" t="n">
        <v>2</v>
      </c>
      <c r="D56" s="9" t="n">
        <v>3</v>
      </c>
      <c r="E56" s="9" t="n">
        <v>6</v>
      </c>
      <c r="F56" s="9" t="n">
        <v>6</v>
      </c>
      <c r="G56" s="9" t="n">
        <v>6</v>
      </c>
      <c r="H56" s="9" t="n">
        <v>6</v>
      </c>
      <c r="I56" s="9" t="n">
        <v>6</v>
      </c>
      <c r="J56" s="9" t="n">
        <v>6</v>
      </c>
      <c r="K56" s="9" t="n">
        <v>6</v>
      </c>
      <c r="L56" s="10">
        <f>SUM(C56:K56)</f>
        <v/>
      </c>
    </row>
    <row r="57">
      <c r="A57" s="8" t="n"/>
      <c r="B57" s="8" t="inlineStr">
        <is>
          <t>Cumulatief</t>
        </is>
      </c>
      <c r="C57" s="10">
        <f>C56</f>
        <v/>
      </c>
      <c r="D57" s="10">
        <f>C57+D56</f>
        <v/>
      </c>
      <c r="E57" s="10">
        <f>D57+E56</f>
        <v/>
      </c>
      <c r="F57" s="10">
        <f>E57+F56</f>
        <v/>
      </c>
      <c r="G57" s="10">
        <f>F57+G56</f>
        <v/>
      </c>
      <c r="H57" s="10">
        <f>G57+H56</f>
        <v/>
      </c>
      <c r="I57" s="10">
        <f>H57+I56</f>
        <v/>
      </c>
      <c r="J57" s="10">
        <f>I57+J56</f>
        <v/>
      </c>
      <c r="K57" s="10">
        <f>J57+K56</f>
        <v/>
      </c>
      <c r="L57" s="8" t="n"/>
    </row>
    <row r="58">
      <c r="A58" s="7" t="inlineStr">
        <is>
          <t>Totaal</t>
        </is>
      </c>
      <c r="B58" s="8" t="inlineStr">
        <is>
          <t>New Hires</t>
        </is>
      </c>
      <c r="C58" s="10">
        <f>C54+C56</f>
        <v/>
      </c>
      <c r="D58" s="10">
        <f>D54+D56</f>
        <v/>
      </c>
      <c r="E58" s="10">
        <f>E54+E56</f>
        <v/>
      </c>
      <c r="F58" s="10">
        <f>F54+F56</f>
        <v/>
      </c>
      <c r="G58" s="10">
        <f>G54+G56</f>
        <v/>
      </c>
      <c r="H58" s="10">
        <f>H54+H56</f>
        <v/>
      </c>
      <c r="I58" s="10">
        <f>I54+I56</f>
        <v/>
      </c>
      <c r="J58" s="10">
        <f>J54+J56</f>
        <v/>
      </c>
      <c r="K58" s="10">
        <f>K54+K56</f>
        <v/>
      </c>
      <c r="L58" s="10">
        <f>SUM(C58:K58)</f>
        <v/>
      </c>
    </row>
    <row r="59">
      <c r="A59" s="8" t="n"/>
      <c r="B59" s="8" t="inlineStr">
        <is>
          <t>Cumulatief</t>
        </is>
      </c>
      <c r="C59" s="10">
        <f>C58</f>
        <v/>
      </c>
      <c r="D59" s="10">
        <f>C59+D58</f>
        <v/>
      </c>
      <c r="E59" s="10">
        <f>D59+E58</f>
        <v/>
      </c>
      <c r="F59" s="10">
        <f>E59+F58</f>
        <v/>
      </c>
      <c r="G59" s="10">
        <f>F59+G58</f>
        <v/>
      </c>
      <c r="H59" s="10">
        <f>G59+H58</f>
        <v/>
      </c>
      <c r="I59" s="10">
        <f>H59+I58</f>
        <v/>
      </c>
      <c r="J59" s="10">
        <f>I59+J58</f>
        <v/>
      </c>
      <c r="K59" s="10">
        <f>J59+K58</f>
        <v/>
      </c>
      <c r="L59" s="8" t="n"/>
    </row>
    <row r="61">
      <c r="A61" s="2" t="inlineStr">
        <is>
          <t>ARR Targets (M EUR)</t>
        </is>
      </c>
    </row>
    <row r="62">
      <c r="A62" s="6" t="inlineStr">
        <is>
          <t>Metric</t>
        </is>
      </c>
      <c r="B62" s="6" t="n"/>
      <c r="C62" s="6" t="inlineStr">
        <is>
          <t>April</t>
        </is>
      </c>
      <c r="D62" s="6" t="inlineStr">
        <is>
          <t>May</t>
        </is>
      </c>
      <c r="E62" s="6" t="inlineStr">
        <is>
          <t>June</t>
        </is>
      </c>
      <c r="F62" s="6" t="inlineStr">
        <is>
          <t>July</t>
        </is>
      </c>
      <c r="G62" s="6" t="inlineStr">
        <is>
          <t>August</t>
        </is>
      </c>
      <c r="H62" s="6" t="inlineStr">
        <is>
          <t>September</t>
        </is>
      </c>
      <c r="I62" s="6" t="inlineStr">
        <is>
          <t>October</t>
        </is>
      </c>
      <c r="J62" s="6" t="inlineStr">
        <is>
          <t>November</t>
        </is>
      </c>
      <c r="K62" s="6" t="inlineStr">
        <is>
          <t>December</t>
        </is>
      </c>
      <c r="L62" s="6" t="inlineStr">
        <is>
          <t>Totaal</t>
        </is>
      </c>
    </row>
    <row r="63">
      <c r="A63" s="7" t="inlineStr">
        <is>
          <t>ARR Budget</t>
        </is>
      </c>
      <c r="B63" s="8" t="n"/>
      <c r="C63" s="11" t="n">
        <v>0.21</v>
      </c>
      <c r="D63" s="11" t="n">
        <v>0.24</v>
      </c>
      <c r="E63" s="11" t="n">
        <v>0.27</v>
      </c>
      <c r="F63" s="11" t="n">
        <v>0.31</v>
      </c>
      <c r="G63" s="11" t="n">
        <v>0.28</v>
      </c>
      <c r="H63" s="11" t="n">
        <v>0.47</v>
      </c>
      <c r="I63" s="11" t="n">
        <v>0.52</v>
      </c>
      <c r="J63" s="11" t="n">
        <v>0.55</v>
      </c>
      <c r="K63" s="11" t="n">
        <v>0.55</v>
      </c>
      <c r="L63" s="12">
        <f>SUM(C63:K63)</f>
        <v/>
      </c>
    </row>
    <row r="64">
      <c r="A64" s="7" t="inlineStr">
        <is>
          <t>ARR Stretch</t>
        </is>
      </c>
      <c r="B64" s="8" t="n"/>
      <c r="C64" s="11" t="n">
        <v>0.26</v>
      </c>
      <c r="D64" s="11" t="n">
        <v>0.4</v>
      </c>
      <c r="E64" s="11" t="n">
        <v>0.4</v>
      </c>
      <c r="F64" s="11" t="n">
        <v>0.5</v>
      </c>
      <c r="G64" s="11" t="n">
        <v>0.6</v>
      </c>
      <c r="H64" s="11" t="n">
        <v>0.65</v>
      </c>
      <c r="I64" s="11" t="n">
        <v>0.75</v>
      </c>
      <c r="J64" s="11" t="n">
        <v>0.85</v>
      </c>
      <c r="K64" s="11" t="n">
        <v>0.85</v>
      </c>
      <c r="L64" s="12">
        <f>SUM(C64:K64)</f>
        <v/>
      </c>
    </row>
    <row r="65">
      <c r="A65" s="7" t="inlineStr">
        <is>
          <t>SQLs</t>
        </is>
      </c>
      <c r="B65" s="8" t="n"/>
      <c r="C65" s="13" t="n">
        <v>370</v>
      </c>
      <c r="D65" s="9" t="n"/>
      <c r="E65" s="9" t="n"/>
      <c r="F65" s="9" t="n"/>
      <c r="G65" s="9" t="n"/>
      <c r="H65" s="9" t="n"/>
      <c r="I65" s="9" t="n"/>
      <c r="J65" s="9" t="n"/>
      <c r="K65" s="9" t="n"/>
      <c r="L65" s="8" t="n"/>
    </row>
    <row r="66">
      <c r="A66" s="7" t="inlineStr">
        <is>
          <t>Mango Leads</t>
        </is>
      </c>
      <c r="B66" s="8" t="n"/>
      <c r="C66" s="13" t="n">
        <v>100</v>
      </c>
      <c r="D66" s="9" t="n"/>
      <c r="E66" s="9" t="n"/>
      <c r="F66" s="9" t="n"/>
      <c r="G66" s="9" t="n"/>
      <c r="H66" s="9" t="n"/>
      <c r="I66" s="9" t="n"/>
      <c r="J66" s="9" t="n"/>
      <c r="K66" s="9" t="n"/>
      <c r="L66" s="8" t="n"/>
    </row>
  </sheetData>
  <mergeCells count="8">
    <mergeCell ref="A10:L10"/>
    <mergeCell ref="A7:L7"/>
    <mergeCell ref="A1:L1"/>
    <mergeCell ref="A5:L5"/>
    <mergeCell ref="A8:L8"/>
    <mergeCell ref="A6:L6"/>
    <mergeCell ref="A9:L9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</cols>
  <sheetData>
    <row r="1">
      <c r="A1" s="16" t="inlineStr">
        <is>
          <t>MM — Scenario Planning (3 scenarios)</t>
        </is>
      </c>
    </row>
    <row r="3">
      <c r="A3" s="17" t="inlineStr">
        <is>
          <t>LEGENDA</t>
        </is>
      </c>
    </row>
    <row r="4">
      <c r="A4" s="18" t="inlineStr">
        <is>
          <t>Yellow cells = inputs (adjustable). Green cells = computed (don't edit).</t>
        </is>
      </c>
    </row>
    <row r="5">
      <c r="A5" s="18" t="inlineStr">
        <is>
          <t>Per ramped AE: €240K/quarter. Deal cadence: 2 pilots/mo + 0.5 medium/mo + 0.33 large/mo.</t>
        </is>
      </c>
    </row>
    <row r="6">
      <c r="A6" s="18" t="inlineStr">
        <is>
          <t>Close rates: 10% pilot, 10% medium, 5% large. New AE ramp: 50%→75%→100% over 3 months.</t>
        </is>
      </c>
    </row>
    <row r="7">
      <c r="A7" s="18" t="inlineStr">
        <is>
          <t>Pilot conversion at month 5: 40% → Medium, 10% → Large. AE cost: €6K/mo. BDR cost: €4K/mo.</t>
        </is>
      </c>
    </row>
    <row r="8">
      <c r="A8" s="18" t="inlineStr">
        <is>
          <t>Starting capacity: 0.6 FTE AE (Martijn) + 0.4 FTE BDR. Victor goes full-time on MM in June (baseline/push) or May (hyper-push).</t>
        </is>
      </c>
    </row>
    <row r="10">
      <c r="A10" s="17" t="inlineStr">
        <is>
          <t>SCENARIO 1: BASELINE</t>
        </is>
      </c>
    </row>
    <row r="11">
      <c r="A11" s="19" t="inlineStr">
        <is>
          <t>Conservative ramp — hit €2M with controlled risk</t>
        </is>
      </c>
    </row>
    <row r="13">
      <c r="A13" s="20" t="inlineStr">
        <is>
          <t>NARRATIVE</t>
        </is>
      </c>
    </row>
    <row r="14">
      <c r="A14" s="21" t="inlineStr">
        <is>
          <t>The baseline scenario adds the first dedicated MM AE in July (after Victor goes full-time in June), with a second new hire following in September. BDR capacity scales from the current 0.4 FTE to 3 by Q4. The motion stays pilot-led: 2 pilots/mo per ramped AE, with medium and large deals layering in as AEs ramp. This is the 'prove it works before scaling' path.</t>
        </is>
      </c>
    </row>
    <row r="15">
      <c r="A15" s="21" t="inlineStr">
        <is>
          <t>Key bet: the pilot-to-medium conversion engine delivers at 40%+ by Q4 when the first cohort hits month-5 review. If conversion underperforms, we stay under €2M but with a lean cost base and clear signal on what to fix. Total headcount peaks at 5 (2 AEs + 3 BDRs), monthly burn stays under €25K.</t>
        </is>
      </c>
    </row>
    <row r="16">
      <c r="A16" s="21" t="inlineStr">
        <is>
          <t>Risk profile: LOW. We learn before we spend. Downside: €1.6M if conversion disappoints. Upside: €2.2M if large deals land faster than modeled.</t>
        </is>
      </c>
    </row>
    <row r="18">
      <c r="A18" s="20" t="inlineStr">
        <is>
          <t>HEADCOUNT</t>
        </is>
      </c>
    </row>
    <row r="19">
      <c r="A19" s="22" t="inlineStr">
        <is>
          <t>Role</t>
        </is>
      </c>
      <c r="B19" s="22" t="inlineStr">
        <is>
          <t>Type</t>
        </is>
      </c>
      <c r="C19" s="22" t="inlineStr">
        <is>
          <t>Apr</t>
        </is>
      </c>
      <c r="D19" s="22" t="inlineStr">
        <is>
          <t>May</t>
        </is>
      </c>
      <c r="E19" s="22" t="inlineStr">
        <is>
          <t>Jun</t>
        </is>
      </c>
      <c r="F19" s="22" t="inlineStr">
        <is>
          <t>Jul</t>
        </is>
      </c>
      <c r="G19" s="22" t="inlineStr">
        <is>
          <t>Aug</t>
        </is>
      </c>
      <c r="H19" s="22" t="inlineStr">
        <is>
          <t>Sep</t>
        </is>
      </c>
      <c r="I19" s="22" t="inlineStr">
        <is>
          <t>Oct</t>
        </is>
      </c>
      <c r="J19" s="22" t="inlineStr">
        <is>
          <t>Nov</t>
        </is>
      </c>
      <c r="K19" s="22" t="inlineStr">
        <is>
          <t>Dec</t>
        </is>
      </c>
      <c r="L19" s="22" t="inlineStr">
        <is>
          <t>Total</t>
        </is>
      </c>
    </row>
    <row r="20">
      <c r="A20" s="23" t="inlineStr">
        <is>
          <t>AEs (ramped)</t>
        </is>
      </c>
      <c r="B20" s="24" t="inlineStr">
        <is>
          <t>FTE</t>
        </is>
      </c>
      <c r="C20" s="25" t="n">
        <v>0.6</v>
      </c>
      <c r="D20" s="25" t="n">
        <v>0.6</v>
      </c>
      <c r="E20" s="25" t="n">
        <v>1</v>
      </c>
      <c r="F20" s="25" t="n">
        <v>1</v>
      </c>
      <c r="G20" s="25" t="n">
        <v>1</v>
      </c>
      <c r="H20" s="25" t="n">
        <v>1</v>
      </c>
      <c r="I20" s="25" t="n">
        <v>1</v>
      </c>
      <c r="J20" s="25" t="n">
        <v>1</v>
      </c>
      <c r="K20" s="25" t="n">
        <v>1</v>
      </c>
      <c r="L20" s="26" t="n">
        <v>1</v>
      </c>
    </row>
    <row r="21">
      <c r="A21" s="23" t="inlineStr">
        <is>
          <t>AEs (new hires)</t>
        </is>
      </c>
      <c r="B21" s="24" t="inlineStr">
        <is>
          <t>Cumulative</t>
        </is>
      </c>
      <c r="C21" s="25" t="n">
        <v>0</v>
      </c>
      <c r="D21" s="25" t="n">
        <v>0</v>
      </c>
      <c r="E21" s="25" t="n">
        <v>0</v>
      </c>
      <c r="F21" s="25" t="n">
        <v>1</v>
      </c>
      <c r="G21" s="25" t="n">
        <v>1</v>
      </c>
      <c r="H21" s="25" t="n">
        <v>1</v>
      </c>
      <c r="I21" s="25" t="n">
        <v>2</v>
      </c>
      <c r="J21" s="25" t="n">
        <v>2</v>
      </c>
      <c r="K21" s="25" t="n">
        <v>2</v>
      </c>
      <c r="L21" s="26" t="n">
        <v>2</v>
      </c>
    </row>
    <row r="22">
      <c r="A22" s="23" t="inlineStr">
        <is>
          <t>Total AEs</t>
        </is>
      </c>
      <c r="C22" s="27" t="n">
        <v>0.6</v>
      </c>
      <c r="D22" s="27" t="n">
        <v>0.6</v>
      </c>
      <c r="E22" s="27" t="n">
        <v>1</v>
      </c>
      <c r="F22" s="27" t="n">
        <v>2</v>
      </c>
      <c r="G22" s="27" t="n">
        <v>2</v>
      </c>
      <c r="H22" s="27" t="n">
        <v>2</v>
      </c>
      <c r="I22" s="27" t="n">
        <v>3</v>
      </c>
      <c r="J22" s="27" t="n">
        <v>3</v>
      </c>
      <c r="K22" s="27" t="n">
        <v>3</v>
      </c>
      <c r="L22" s="26" t="n">
        <v>3</v>
      </c>
    </row>
    <row r="23">
      <c r="A23" s="23" t="inlineStr">
        <is>
          <t>Effective AEs</t>
        </is>
      </c>
      <c r="B23" s="24" t="inlineStr">
        <is>
          <t>incl. ramp</t>
        </is>
      </c>
      <c r="C23" s="28" t="n">
        <v>0.6</v>
      </c>
      <c r="D23" s="28" t="n">
        <v>0.6</v>
      </c>
      <c r="E23" s="28" t="n">
        <v>1</v>
      </c>
      <c r="F23" s="28" t="n">
        <v>1.5</v>
      </c>
      <c r="G23" s="28" t="n">
        <v>1.75</v>
      </c>
      <c r="H23" s="28" t="n">
        <v>2</v>
      </c>
      <c r="I23" s="28" t="n">
        <v>2.5</v>
      </c>
      <c r="J23" s="28" t="n">
        <v>2.75</v>
      </c>
      <c r="K23" s="28" t="n">
        <v>3</v>
      </c>
      <c r="L23" s="29" t="inlineStr">
        <is>
          <t>3.0</t>
        </is>
      </c>
    </row>
    <row r="24">
      <c r="A24" s="23" t="inlineStr">
        <is>
          <t>BDRs</t>
        </is>
      </c>
      <c r="B24" s="24" t="inlineStr">
        <is>
          <t>FTE</t>
        </is>
      </c>
      <c r="C24" s="25" t="n">
        <v>0.4</v>
      </c>
      <c r="D24" s="25" t="n">
        <v>0.4</v>
      </c>
      <c r="E24" s="25" t="n">
        <v>1</v>
      </c>
      <c r="F24" s="25" t="n">
        <v>1</v>
      </c>
      <c r="G24" s="25" t="n">
        <v>2</v>
      </c>
      <c r="H24" s="25" t="n">
        <v>2</v>
      </c>
      <c r="I24" s="25" t="n">
        <v>3</v>
      </c>
      <c r="J24" s="25" t="n">
        <v>3</v>
      </c>
      <c r="K24" s="25" t="n">
        <v>3</v>
      </c>
      <c r="L24" s="26" t="n">
        <v>3</v>
      </c>
    </row>
    <row r="25">
      <c r="A25" s="23" t="inlineStr">
        <is>
          <t>Total headcount</t>
        </is>
      </c>
      <c r="C25" s="27" t="n">
        <v>1</v>
      </c>
      <c r="D25" s="27" t="n">
        <v>1</v>
      </c>
      <c r="E25" s="27" t="n">
        <v>2</v>
      </c>
      <c r="F25" s="27" t="n">
        <v>3</v>
      </c>
      <c r="G25" s="27" t="n">
        <v>4</v>
      </c>
      <c r="H25" s="27" t="n">
        <v>4</v>
      </c>
      <c r="I25" s="27" t="n">
        <v>6</v>
      </c>
      <c r="J25" s="27" t="n">
        <v>6</v>
      </c>
      <c r="K25" s="27" t="n">
        <v>6</v>
      </c>
      <c r="L25" s="26" t="n">
        <v>6</v>
      </c>
    </row>
    <row r="26">
      <c r="A26" s="23" t="inlineStr">
        <is>
          <t>Monthly cost</t>
        </is>
      </c>
      <c r="C26" s="28" t="inlineStr">
        <is>
          <t>€5.2k</t>
        </is>
      </c>
      <c r="D26" s="28" t="inlineStr">
        <is>
          <t>€5.2k</t>
        </is>
      </c>
      <c r="E26" s="28" t="inlineStr">
        <is>
          <t>€10.0k</t>
        </is>
      </c>
      <c r="F26" s="28" t="inlineStr">
        <is>
          <t>€16.0k</t>
        </is>
      </c>
      <c r="G26" s="28" t="inlineStr">
        <is>
          <t>€20.0k</t>
        </is>
      </c>
      <c r="H26" s="28" t="inlineStr">
        <is>
          <t>€20.0k</t>
        </is>
      </c>
      <c r="I26" s="28" t="inlineStr">
        <is>
          <t>€30.0k</t>
        </is>
      </c>
      <c r="J26" s="28" t="inlineStr">
        <is>
          <t>€30.0k</t>
        </is>
      </c>
      <c r="K26" s="28" t="inlineStr">
        <is>
          <t>€30.0k</t>
        </is>
      </c>
      <c r="L26" s="26" t="inlineStr">
        <is>
          <t>€166k</t>
        </is>
      </c>
    </row>
    <row r="28">
      <c r="A28" s="20" t="inlineStr">
        <is>
          <t>DEAL FLOW (from AE capacity)</t>
        </is>
      </c>
    </row>
    <row r="29">
      <c r="A29" s="22" t="inlineStr">
        <is>
          <t>Type</t>
        </is>
      </c>
      <c r="B29" s="22" t="inlineStr"/>
      <c r="C29" s="22" t="inlineStr">
        <is>
          <t>Apr</t>
        </is>
      </c>
      <c r="D29" s="22" t="inlineStr">
        <is>
          <t>May</t>
        </is>
      </c>
      <c r="E29" s="22" t="inlineStr">
        <is>
          <t>Jun</t>
        </is>
      </c>
      <c r="F29" s="22" t="inlineStr">
        <is>
          <t>Jul</t>
        </is>
      </c>
      <c r="G29" s="22" t="inlineStr">
        <is>
          <t>Aug</t>
        </is>
      </c>
      <c r="H29" s="22" t="inlineStr">
        <is>
          <t>Sep</t>
        </is>
      </c>
      <c r="I29" s="22" t="inlineStr">
        <is>
          <t>Oct</t>
        </is>
      </c>
      <c r="J29" s="22" t="inlineStr">
        <is>
          <t>Nov</t>
        </is>
      </c>
      <c r="K29" s="22" t="inlineStr">
        <is>
          <t>Dec</t>
        </is>
      </c>
      <c r="L29" s="22" t="inlineStr">
        <is>
          <t>Total</t>
        </is>
      </c>
    </row>
    <row r="30">
      <c r="A30" s="23" t="inlineStr">
        <is>
          <t>Pilots (€15K)</t>
        </is>
      </c>
      <c r="C30" s="28" t="n">
        <v>1</v>
      </c>
      <c r="D30" s="28" t="n">
        <v>1</v>
      </c>
      <c r="E30" s="28" t="n">
        <v>2</v>
      </c>
      <c r="F30" s="28" t="n">
        <v>3</v>
      </c>
      <c r="G30" s="28" t="n">
        <v>4</v>
      </c>
      <c r="H30" s="28" t="n">
        <v>4</v>
      </c>
      <c r="I30" s="28" t="n">
        <v>5</v>
      </c>
      <c r="J30" s="28" t="n">
        <v>6</v>
      </c>
      <c r="K30" s="28" t="n">
        <v>6</v>
      </c>
      <c r="L30" s="26" t="n">
        <v>32</v>
      </c>
    </row>
    <row r="31">
      <c r="A31" s="23" t="inlineStr">
        <is>
          <t>Medium (€50K)</t>
        </is>
      </c>
      <c r="C31" s="28" t="n">
        <v>0.3</v>
      </c>
      <c r="D31" s="28" t="n">
        <v>0.3</v>
      </c>
      <c r="E31" s="28" t="n">
        <v>0.5</v>
      </c>
      <c r="F31" s="28" t="n">
        <v>0.8</v>
      </c>
      <c r="G31" s="28" t="n">
        <v>0.9</v>
      </c>
      <c r="H31" s="28" t="n">
        <v>1</v>
      </c>
      <c r="I31" s="28" t="n">
        <v>1.2</v>
      </c>
      <c r="J31" s="28" t="n">
        <v>1.4</v>
      </c>
      <c r="K31" s="28" t="n">
        <v>1.5</v>
      </c>
      <c r="L31" s="26" t="n">
        <v>7.9</v>
      </c>
    </row>
    <row r="32">
      <c r="A32" s="23" t="inlineStr">
        <is>
          <t>Large (€100K)</t>
        </is>
      </c>
      <c r="C32" s="28" t="n">
        <v>0.2</v>
      </c>
      <c r="D32" s="28" t="n">
        <v>0.2</v>
      </c>
      <c r="E32" s="28" t="n">
        <v>0.3</v>
      </c>
      <c r="F32" s="28" t="n">
        <v>0.5</v>
      </c>
      <c r="G32" s="28" t="n">
        <v>0.6</v>
      </c>
      <c r="H32" s="28" t="n">
        <v>0.7</v>
      </c>
      <c r="I32" s="28" t="n">
        <v>0.8</v>
      </c>
      <c r="J32" s="28" t="n">
        <v>0.9</v>
      </c>
      <c r="K32" s="28" t="n">
        <v>1</v>
      </c>
      <c r="L32" s="26" t="n">
        <v>5.2</v>
      </c>
    </row>
    <row r="33">
      <c r="A33" s="23" t="inlineStr">
        <is>
          <t>Total deals</t>
        </is>
      </c>
      <c r="C33" s="27" t="n">
        <v>1</v>
      </c>
      <c r="D33" s="27" t="n">
        <v>1</v>
      </c>
      <c r="E33" s="27" t="n">
        <v>2</v>
      </c>
      <c r="F33" s="27" t="n">
        <v>4</v>
      </c>
      <c r="G33" s="27" t="n">
        <v>6</v>
      </c>
      <c r="H33" s="27" t="n">
        <v>6</v>
      </c>
      <c r="I33" s="27" t="n">
        <v>7</v>
      </c>
      <c r="J33" s="27" t="n">
        <v>8</v>
      </c>
      <c r="K33" s="27" t="n">
        <v>9</v>
      </c>
      <c r="L33" s="26" t="n">
        <v>44</v>
      </c>
    </row>
    <row r="35">
      <c r="A35" s="20" t="inlineStr">
        <is>
          <t>ARR WATERFALL</t>
        </is>
      </c>
    </row>
    <row r="36">
      <c r="A36" s="22" t="inlineStr">
        <is>
          <t>Source</t>
        </is>
      </c>
      <c r="B36" s="22" t="inlineStr"/>
      <c r="C36" s="22" t="inlineStr">
        <is>
          <t>Apr</t>
        </is>
      </c>
      <c r="D36" s="22" t="inlineStr">
        <is>
          <t>May</t>
        </is>
      </c>
      <c r="E36" s="22" t="inlineStr">
        <is>
          <t>Jun</t>
        </is>
      </c>
      <c r="F36" s="22" t="inlineStr">
        <is>
          <t>Jul</t>
        </is>
      </c>
      <c r="G36" s="22" t="inlineStr">
        <is>
          <t>Aug</t>
        </is>
      </c>
      <c r="H36" s="22" t="inlineStr">
        <is>
          <t>Sep</t>
        </is>
      </c>
      <c r="I36" s="22" t="inlineStr">
        <is>
          <t>Oct</t>
        </is>
      </c>
      <c r="J36" s="22" t="inlineStr">
        <is>
          <t>Nov</t>
        </is>
      </c>
      <c r="K36" s="22" t="inlineStr">
        <is>
          <t>Dec</t>
        </is>
      </c>
      <c r="L36" s="22" t="inlineStr">
        <is>
          <t>Total</t>
        </is>
      </c>
    </row>
    <row r="37">
      <c r="A37" s="23" t="inlineStr">
        <is>
          <t>New pilot ARR</t>
        </is>
      </c>
      <c r="C37" s="30" t="inlineStr">
        <is>
          <t>€15k</t>
        </is>
      </c>
      <c r="D37" s="30" t="inlineStr">
        <is>
          <t>€15k</t>
        </is>
      </c>
      <c r="E37" s="30" t="inlineStr">
        <is>
          <t>€30k</t>
        </is>
      </c>
      <c r="F37" s="30" t="inlineStr">
        <is>
          <t>€45k</t>
        </is>
      </c>
      <c r="G37" s="30" t="inlineStr">
        <is>
          <t>€60k</t>
        </is>
      </c>
      <c r="H37" s="30" t="inlineStr">
        <is>
          <t>€60k</t>
        </is>
      </c>
      <c r="I37" s="30" t="inlineStr">
        <is>
          <t>€75k</t>
        </is>
      </c>
      <c r="J37" s="30" t="inlineStr">
        <is>
          <t>€90k</t>
        </is>
      </c>
      <c r="K37" s="30" t="inlineStr">
        <is>
          <t>€90k</t>
        </is>
      </c>
      <c r="L37" s="29" t="inlineStr">
        <is>
          <t>€480k</t>
        </is>
      </c>
    </row>
    <row r="38">
      <c r="A38" s="23" t="inlineStr">
        <is>
          <t>New medium ARR</t>
        </is>
      </c>
      <c r="C38" s="30" t="inlineStr">
        <is>
          <t>€15k</t>
        </is>
      </c>
      <c r="D38" s="30" t="inlineStr">
        <is>
          <t>€15k</t>
        </is>
      </c>
      <c r="E38" s="30" t="inlineStr">
        <is>
          <t>€25k</t>
        </is>
      </c>
      <c r="F38" s="30" t="inlineStr">
        <is>
          <t>€40k</t>
        </is>
      </c>
      <c r="G38" s="30" t="inlineStr">
        <is>
          <t>€45k</t>
        </is>
      </c>
      <c r="H38" s="30" t="inlineStr">
        <is>
          <t>€50k</t>
        </is>
      </c>
      <c r="I38" s="30" t="inlineStr">
        <is>
          <t>€60k</t>
        </is>
      </c>
      <c r="J38" s="30" t="inlineStr">
        <is>
          <t>€70k</t>
        </is>
      </c>
      <c r="K38" s="30" t="inlineStr">
        <is>
          <t>€75k</t>
        </is>
      </c>
      <c r="L38" s="29" t="inlineStr">
        <is>
          <t>€395k</t>
        </is>
      </c>
    </row>
    <row r="39">
      <c r="A39" s="23" t="inlineStr">
        <is>
          <t>New large ARR</t>
        </is>
      </c>
      <c r="C39" s="30" t="inlineStr">
        <is>
          <t>€20k</t>
        </is>
      </c>
      <c r="D39" s="30" t="inlineStr">
        <is>
          <t>€20k</t>
        </is>
      </c>
      <c r="E39" s="30" t="inlineStr">
        <is>
          <t>€30k</t>
        </is>
      </c>
      <c r="F39" s="30" t="inlineStr">
        <is>
          <t>€50k</t>
        </is>
      </c>
      <c r="G39" s="30" t="inlineStr">
        <is>
          <t>€60k</t>
        </is>
      </c>
      <c r="H39" s="30" t="inlineStr">
        <is>
          <t>€70k</t>
        </is>
      </c>
      <c r="I39" s="30" t="inlineStr">
        <is>
          <t>€80k</t>
        </is>
      </c>
      <c r="J39" s="30" t="inlineStr">
        <is>
          <t>€90k</t>
        </is>
      </c>
      <c r="K39" s="30" t="inlineStr">
        <is>
          <t>€100k</t>
        </is>
      </c>
      <c r="L39" s="29" t="inlineStr">
        <is>
          <t>€520k</t>
        </is>
      </c>
    </row>
    <row r="40">
      <c r="A40" s="23" t="inlineStr">
        <is>
          <t>New deal ARR /mo</t>
        </is>
      </c>
      <c r="C40" s="27" t="inlineStr">
        <is>
          <t>€50k</t>
        </is>
      </c>
      <c r="D40" s="27" t="inlineStr">
        <is>
          <t>€50k</t>
        </is>
      </c>
      <c r="E40" s="27" t="inlineStr">
        <is>
          <t>€85k</t>
        </is>
      </c>
      <c r="F40" s="27" t="inlineStr">
        <is>
          <t>€135k</t>
        </is>
      </c>
      <c r="G40" s="27" t="inlineStr">
        <is>
          <t>€165k</t>
        </is>
      </c>
      <c r="H40" s="27" t="inlineStr">
        <is>
          <t>€180k</t>
        </is>
      </c>
      <c r="I40" s="27" t="inlineStr">
        <is>
          <t>€215k</t>
        </is>
      </c>
      <c r="J40" s="27" t="inlineStr">
        <is>
          <t>€250k</t>
        </is>
      </c>
      <c r="K40" s="27" t="inlineStr">
        <is>
          <t>€265k</t>
        </is>
      </c>
      <c r="L40" s="26" t="inlineStr">
        <is>
          <t>€1.40M</t>
        </is>
      </c>
    </row>
    <row r="41">
      <c r="A41" s="23" t="inlineStr">
        <is>
          <t>Cum. new deal ARR</t>
        </is>
      </c>
      <c r="B41" s="24">
        <f> €2M target</f>
        <v/>
      </c>
      <c r="C41" s="31" t="inlineStr">
        <is>
          <t>€50k</t>
        </is>
      </c>
      <c r="D41" s="31" t="inlineStr">
        <is>
          <t>€100k</t>
        </is>
      </c>
      <c r="E41" s="31" t="inlineStr">
        <is>
          <t>€185k</t>
        </is>
      </c>
      <c r="F41" s="31" t="inlineStr">
        <is>
          <t>€320k</t>
        </is>
      </c>
      <c r="G41" s="31" t="inlineStr">
        <is>
          <t>€485k</t>
        </is>
      </c>
      <c r="H41" s="31" t="inlineStr">
        <is>
          <t>€665k</t>
        </is>
      </c>
      <c r="I41" s="31" t="inlineStr">
        <is>
          <t>€880k</t>
        </is>
      </c>
      <c r="J41" s="31" t="inlineStr">
        <is>
          <t>€1.13M</t>
        </is>
      </c>
      <c r="K41" s="31" t="inlineStr">
        <is>
          <t>€1.40M</t>
        </is>
      </c>
      <c r="L41" s="32" t="inlineStr">
        <is>
          <t>€1.40M</t>
        </is>
      </c>
    </row>
    <row r="42">
      <c r="A42" s="23" t="inlineStr">
        <is>
          <t>Expansion ARR /mo</t>
        </is>
      </c>
      <c r="B42" s="33" t="inlineStr">
        <is>
          <t>upside</t>
        </is>
      </c>
      <c r="C42" s="34" t="inlineStr">
        <is>
          <t>-</t>
        </is>
      </c>
      <c r="D42" s="34" t="inlineStr">
        <is>
          <t>-</t>
        </is>
      </c>
      <c r="E42" s="34" t="inlineStr">
        <is>
          <t>-</t>
        </is>
      </c>
      <c r="F42" s="34" t="inlineStr">
        <is>
          <t>-</t>
        </is>
      </c>
      <c r="G42" s="34" t="inlineStr">
        <is>
          <t>-</t>
        </is>
      </c>
      <c r="H42" s="34" t="inlineStr">
        <is>
          <t>€22k</t>
        </is>
      </c>
      <c r="I42" s="34" t="inlineStr">
        <is>
          <t>€22k</t>
        </is>
      </c>
      <c r="J42" s="34" t="inlineStr">
        <is>
          <t>€45k</t>
        </is>
      </c>
      <c r="K42" s="34" t="inlineStr">
        <is>
          <t>€68k</t>
        </is>
      </c>
      <c r="L42" s="29" t="inlineStr">
        <is>
          <t>+€158k</t>
        </is>
      </c>
    </row>
    <row r="43">
      <c r="A43" s="23" t="inlineStr">
        <is>
          <t>Total ARR (incl exp.)</t>
        </is>
      </c>
      <c r="C43" s="35" t="inlineStr">
        <is>
          <t>€50k</t>
        </is>
      </c>
      <c r="D43" s="35" t="inlineStr">
        <is>
          <t>€100k</t>
        </is>
      </c>
      <c r="E43" s="35" t="inlineStr">
        <is>
          <t>€185k</t>
        </is>
      </c>
      <c r="F43" s="35" t="inlineStr">
        <is>
          <t>€320k</t>
        </is>
      </c>
      <c r="G43" s="35" t="inlineStr">
        <is>
          <t>€485k</t>
        </is>
      </c>
      <c r="H43" s="35" t="inlineStr">
        <is>
          <t>€688k</t>
        </is>
      </c>
      <c r="I43" s="35" t="inlineStr">
        <is>
          <t>€925k</t>
        </is>
      </c>
      <c r="J43" s="35" t="inlineStr">
        <is>
          <t>€1.22M</t>
        </is>
      </c>
      <c r="K43" s="35" t="inlineStr">
        <is>
          <t>€1.55M</t>
        </is>
      </c>
      <c r="L43" s="36" t="inlineStr">
        <is>
          <t>€1.55M</t>
        </is>
      </c>
    </row>
    <row r="45">
      <c r="A45" s="20" t="inlineStr">
        <is>
          <t>BDR FUNNEL MATH</t>
        </is>
      </c>
    </row>
    <row r="46">
      <c r="A46" s="18" t="inlineStr">
        <is>
          <t>Pilots: 32 deals ÷ 10% = 320 meetings</t>
        </is>
      </c>
    </row>
    <row r="47">
      <c r="A47" s="18" t="inlineStr">
        <is>
          <t>Medium: 8 deals ÷ 10% = 79 meetings</t>
        </is>
      </c>
    </row>
    <row r="48">
      <c r="A48" s="18" t="inlineStr">
        <is>
          <t>Large: 5 deals ÷ 5% = 104 meetings</t>
        </is>
      </c>
    </row>
    <row r="49">
      <c r="A49" s="37" t="inlineStr">
        <is>
          <t>Total: 503 meetings ÷ 9 mo = 56/mo</t>
        </is>
      </c>
    </row>
    <row r="50">
      <c r="A50" s="37" t="inlineStr">
        <is>
          <t>56/mo ÷ 15 mtgs/BDR = 4 BDRs needed</t>
        </is>
      </c>
    </row>
    <row r="52">
      <c r="A52" s="20" t="inlineStr">
        <is>
          <t>AE CAPACITY vs PLAN</t>
        </is>
      </c>
    </row>
    <row r="53">
      <c r="A53" s="22" t="inlineStr">
        <is>
          <t>Metric</t>
        </is>
      </c>
      <c r="B53" s="22" t="inlineStr"/>
      <c r="C53" s="22" t="inlineStr">
        <is>
          <t>Apr</t>
        </is>
      </c>
      <c r="D53" s="22" t="inlineStr">
        <is>
          <t>May</t>
        </is>
      </c>
      <c r="E53" s="22" t="inlineStr">
        <is>
          <t>Jun</t>
        </is>
      </c>
      <c r="F53" s="22" t="inlineStr">
        <is>
          <t>Jul</t>
        </is>
      </c>
      <c r="G53" s="22" t="inlineStr">
        <is>
          <t>Aug</t>
        </is>
      </c>
      <c r="H53" s="22" t="inlineStr">
        <is>
          <t>Sep</t>
        </is>
      </c>
      <c r="I53" s="22" t="inlineStr">
        <is>
          <t>Oct</t>
        </is>
      </c>
      <c r="J53" s="22" t="inlineStr">
        <is>
          <t>Nov</t>
        </is>
      </c>
      <c r="K53" s="22" t="inlineStr">
        <is>
          <t>Dec</t>
        </is>
      </c>
      <c r="L53" s="22" t="inlineStr">
        <is>
          <t>Total</t>
        </is>
      </c>
    </row>
    <row r="54">
      <c r="A54" s="23" t="inlineStr">
        <is>
          <t>Revenue plan</t>
        </is>
      </c>
      <c r="C54" s="30" t="inlineStr">
        <is>
          <t>€50k</t>
        </is>
      </c>
      <c r="D54" s="30" t="inlineStr">
        <is>
          <t>€50k</t>
        </is>
      </c>
      <c r="E54" s="30" t="inlineStr">
        <is>
          <t>€85k</t>
        </is>
      </c>
      <c r="F54" s="30" t="inlineStr">
        <is>
          <t>€135k</t>
        </is>
      </c>
      <c r="G54" s="30" t="inlineStr">
        <is>
          <t>€165k</t>
        </is>
      </c>
      <c r="H54" s="30" t="inlineStr">
        <is>
          <t>€180k</t>
        </is>
      </c>
      <c r="I54" s="30" t="inlineStr">
        <is>
          <t>€215k</t>
        </is>
      </c>
      <c r="J54" s="30" t="inlineStr">
        <is>
          <t>€250k</t>
        </is>
      </c>
      <c r="K54" s="30" t="inlineStr">
        <is>
          <t>€265k</t>
        </is>
      </c>
      <c r="L54" s="29" t="inlineStr">
        <is>
          <t>€1.40M</t>
        </is>
      </c>
    </row>
    <row r="55">
      <c r="A55" s="23" t="inlineStr">
        <is>
          <t>AE capacity</t>
        </is>
      </c>
      <c r="C55" s="38" t="inlineStr">
        <is>
          <t>€48k</t>
        </is>
      </c>
      <c r="D55" s="38" t="inlineStr">
        <is>
          <t>€48k</t>
        </is>
      </c>
      <c r="E55" s="38" t="inlineStr">
        <is>
          <t>€80k</t>
        </is>
      </c>
      <c r="F55" s="38" t="inlineStr">
        <is>
          <t>€120k</t>
        </is>
      </c>
      <c r="G55" s="38" t="inlineStr">
        <is>
          <t>€140k</t>
        </is>
      </c>
      <c r="H55" s="38" t="inlineStr">
        <is>
          <t>€160k</t>
        </is>
      </c>
      <c r="I55" s="38" t="inlineStr">
        <is>
          <t>€200k</t>
        </is>
      </c>
      <c r="J55" s="38" t="inlineStr">
        <is>
          <t>€220k</t>
        </is>
      </c>
      <c r="K55" s="38" t="inlineStr">
        <is>
          <t>€240k</t>
        </is>
      </c>
      <c r="L55" s="26" t="inlineStr">
        <is>
          <t>€1.26M</t>
        </is>
      </c>
    </row>
    <row r="56">
      <c r="A56" s="23" t="inlineStr">
        <is>
          <t>Monthly gap</t>
        </is>
      </c>
      <c r="C56" s="39" t="inlineStr">
        <is>
          <t>-€2k</t>
        </is>
      </c>
      <c r="D56" s="39" t="inlineStr">
        <is>
          <t>-€2k</t>
        </is>
      </c>
      <c r="E56" s="39" t="inlineStr">
        <is>
          <t>-€5k</t>
        </is>
      </c>
      <c r="F56" s="39" t="inlineStr">
        <is>
          <t>-€15k</t>
        </is>
      </c>
      <c r="G56" s="39" t="inlineStr">
        <is>
          <t>-€25k</t>
        </is>
      </c>
      <c r="H56" s="39" t="inlineStr">
        <is>
          <t>-€20k</t>
        </is>
      </c>
      <c r="I56" s="39" t="inlineStr">
        <is>
          <t>-€15k</t>
        </is>
      </c>
      <c r="J56" s="39" t="inlineStr">
        <is>
          <t>-€30k</t>
        </is>
      </c>
      <c r="K56" s="39" t="inlineStr">
        <is>
          <t>-€25k</t>
        </is>
      </c>
      <c r="L56" s="40" t="inlineStr">
        <is>
          <t>-€139k</t>
        </is>
      </c>
    </row>
    <row r="59">
      <c r="A59" s="17" t="inlineStr">
        <is>
          <t>SCENARIO 2: PUSH</t>
        </is>
      </c>
    </row>
    <row r="60">
      <c r="A60" s="19" t="inlineStr">
        <is>
          <t>Accelerated hiring — target €2.5M, accept higher burn</t>
        </is>
      </c>
    </row>
    <row r="62">
      <c r="A62" s="20" t="inlineStr">
        <is>
          <t>NARRATIVE</t>
        </is>
      </c>
    </row>
    <row r="63">
      <c r="A63" s="21" t="inlineStr">
        <is>
          <t>The push scenario bets that the MM motion works and scales ahead of proof. Two new AEs join in July (alongside Victor), a third in September, and a fourth in November. BDR capacity matches: scaling to 4 by Q3 and 5 by Q4. This creates enough capacity to run 3-4 large deals in parallel by October.</t>
        </is>
      </c>
    </row>
    <row r="64">
      <c r="A64" s="21" t="inlineStr">
        <is>
          <t>Key bet: we can source enough qualified MM pipeline to fill 4 new AE slots. BDR output needs to hit 80+ meetings/month by Q4 — that's 5 BDRs at 15 meetings each, all generating MM-grade leads. The narrative must land consistently: any AE variance kills the model.</t>
        </is>
      </c>
    </row>
    <row r="65">
      <c r="A65" s="21" t="inlineStr">
        <is>
          <t>Risk profile: MEDIUM. Monthly burn reaches €46K by December. If close rates underperform (7% instead of 10% on pilots), we're at €2M — still hitting target but with a heavier cost base. Upside: €3M+ if the motion compounds and large deal velocity surprises.</t>
        </is>
      </c>
    </row>
    <row r="67">
      <c r="A67" s="20" t="inlineStr">
        <is>
          <t>HEADCOUNT</t>
        </is>
      </c>
    </row>
    <row r="68">
      <c r="A68" s="22" t="inlineStr">
        <is>
          <t>Role</t>
        </is>
      </c>
      <c r="B68" s="22" t="inlineStr">
        <is>
          <t>Type</t>
        </is>
      </c>
      <c r="C68" s="22" t="inlineStr">
        <is>
          <t>Apr</t>
        </is>
      </c>
      <c r="D68" s="22" t="inlineStr">
        <is>
          <t>May</t>
        </is>
      </c>
      <c r="E68" s="22" t="inlineStr">
        <is>
          <t>Jun</t>
        </is>
      </c>
      <c r="F68" s="22" t="inlineStr">
        <is>
          <t>Jul</t>
        </is>
      </c>
      <c r="G68" s="22" t="inlineStr">
        <is>
          <t>Aug</t>
        </is>
      </c>
      <c r="H68" s="22" t="inlineStr">
        <is>
          <t>Sep</t>
        </is>
      </c>
      <c r="I68" s="22" t="inlineStr">
        <is>
          <t>Oct</t>
        </is>
      </c>
      <c r="J68" s="22" t="inlineStr">
        <is>
          <t>Nov</t>
        </is>
      </c>
      <c r="K68" s="22" t="inlineStr">
        <is>
          <t>Dec</t>
        </is>
      </c>
      <c r="L68" s="22" t="inlineStr">
        <is>
          <t>Total</t>
        </is>
      </c>
    </row>
    <row r="69">
      <c r="A69" s="23" t="inlineStr">
        <is>
          <t>AEs (ramped)</t>
        </is>
      </c>
      <c r="B69" s="24" t="inlineStr">
        <is>
          <t>FTE</t>
        </is>
      </c>
      <c r="C69" s="25" t="n">
        <v>0.6</v>
      </c>
      <c r="D69" s="25" t="n">
        <v>0.6</v>
      </c>
      <c r="E69" s="25" t="n">
        <v>1</v>
      </c>
      <c r="F69" s="25" t="n">
        <v>1</v>
      </c>
      <c r="G69" s="25" t="n">
        <v>1</v>
      </c>
      <c r="H69" s="25" t="n">
        <v>1</v>
      </c>
      <c r="I69" s="25" t="n">
        <v>1</v>
      </c>
      <c r="J69" s="25" t="n">
        <v>1</v>
      </c>
      <c r="K69" s="25" t="n">
        <v>1</v>
      </c>
      <c r="L69" s="26" t="n">
        <v>1</v>
      </c>
    </row>
    <row r="70">
      <c r="A70" s="23" t="inlineStr">
        <is>
          <t>AEs (new hires)</t>
        </is>
      </c>
      <c r="B70" s="24" t="inlineStr">
        <is>
          <t>Cumulative</t>
        </is>
      </c>
      <c r="C70" s="25" t="n">
        <v>0</v>
      </c>
      <c r="D70" s="25" t="n">
        <v>0</v>
      </c>
      <c r="E70" s="25" t="n">
        <v>0</v>
      </c>
      <c r="F70" s="25" t="n">
        <v>2</v>
      </c>
      <c r="G70" s="25" t="n">
        <v>2</v>
      </c>
      <c r="H70" s="25" t="n">
        <v>3</v>
      </c>
      <c r="I70" s="25" t="n">
        <v>3</v>
      </c>
      <c r="J70" s="25" t="n">
        <v>4</v>
      </c>
      <c r="K70" s="25" t="n">
        <v>4</v>
      </c>
      <c r="L70" s="26" t="n">
        <v>4</v>
      </c>
    </row>
    <row r="71">
      <c r="A71" s="23" t="inlineStr">
        <is>
          <t>Total AEs</t>
        </is>
      </c>
      <c r="C71" s="27" t="n">
        <v>0.6</v>
      </c>
      <c r="D71" s="27" t="n">
        <v>0.6</v>
      </c>
      <c r="E71" s="27" t="n">
        <v>1</v>
      </c>
      <c r="F71" s="27" t="n">
        <v>3</v>
      </c>
      <c r="G71" s="27" t="n">
        <v>3</v>
      </c>
      <c r="H71" s="27" t="n">
        <v>4</v>
      </c>
      <c r="I71" s="27" t="n">
        <v>4</v>
      </c>
      <c r="J71" s="27" t="n">
        <v>5</v>
      </c>
      <c r="K71" s="27" t="n">
        <v>5</v>
      </c>
      <c r="L71" s="26" t="n">
        <v>5</v>
      </c>
    </row>
    <row r="72">
      <c r="A72" s="23" t="inlineStr">
        <is>
          <t>Effective AEs</t>
        </is>
      </c>
      <c r="B72" s="24" t="inlineStr">
        <is>
          <t>incl. ramp</t>
        </is>
      </c>
      <c r="C72" s="28" t="n">
        <v>0.6</v>
      </c>
      <c r="D72" s="28" t="n">
        <v>0.6</v>
      </c>
      <c r="E72" s="28" t="n">
        <v>1</v>
      </c>
      <c r="F72" s="28" t="n">
        <v>2</v>
      </c>
      <c r="G72" s="28" t="n">
        <v>2.5</v>
      </c>
      <c r="H72" s="28" t="n">
        <v>3.5</v>
      </c>
      <c r="I72" s="28" t="n">
        <v>3.75</v>
      </c>
      <c r="J72" s="28" t="n">
        <v>4.5</v>
      </c>
      <c r="K72" s="28" t="n">
        <v>4.75</v>
      </c>
      <c r="L72" s="29" t="inlineStr">
        <is>
          <t>4.8</t>
        </is>
      </c>
    </row>
    <row r="73">
      <c r="A73" s="23" t="inlineStr">
        <is>
          <t>BDRs</t>
        </is>
      </c>
      <c r="B73" s="24" t="inlineStr">
        <is>
          <t>FTE</t>
        </is>
      </c>
      <c r="C73" s="25" t="n">
        <v>0.4</v>
      </c>
      <c r="D73" s="25" t="n">
        <v>1</v>
      </c>
      <c r="E73" s="25" t="n">
        <v>2</v>
      </c>
      <c r="F73" s="25" t="n">
        <v>3</v>
      </c>
      <c r="G73" s="25" t="n">
        <v>4</v>
      </c>
      <c r="H73" s="25" t="n">
        <v>4</v>
      </c>
      <c r="I73" s="25" t="n">
        <v>5</v>
      </c>
      <c r="J73" s="25" t="n">
        <v>5</v>
      </c>
      <c r="K73" s="25" t="n">
        <v>5</v>
      </c>
      <c r="L73" s="26" t="n">
        <v>5</v>
      </c>
    </row>
    <row r="74">
      <c r="A74" s="23" t="inlineStr">
        <is>
          <t>Total headcount</t>
        </is>
      </c>
      <c r="C74" s="27" t="n">
        <v>1</v>
      </c>
      <c r="D74" s="27" t="n">
        <v>1.6</v>
      </c>
      <c r="E74" s="27" t="n">
        <v>3</v>
      </c>
      <c r="F74" s="27" t="n">
        <v>6</v>
      </c>
      <c r="G74" s="27" t="n">
        <v>7</v>
      </c>
      <c r="H74" s="27" t="n">
        <v>8</v>
      </c>
      <c r="I74" s="27" t="n">
        <v>9</v>
      </c>
      <c r="J74" s="27" t="n">
        <v>10</v>
      </c>
      <c r="K74" s="27" t="n">
        <v>10</v>
      </c>
      <c r="L74" s="26" t="n">
        <v>10</v>
      </c>
    </row>
    <row r="75">
      <c r="A75" s="23" t="inlineStr">
        <is>
          <t>Monthly cost</t>
        </is>
      </c>
      <c r="C75" s="28" t="inlineStr">
        <is>
          <t>€5.2k</t>
        </is>
      </c>
      <c r="D75" s="28" t="inlineStr">
        <is>
          <t>€7.6k</t>
        </is>
      </c>
      <c r="E75" s="28" t="inlineStr">
        <is>
          <t>€14.0k</t>
        </is>
      </c>
      <c r="F75" s="28" t="inlineStr">
        <is>
          <t>€30.0k</t>
        </is>
      </c>
      <c r="G75" s="28" t="inlineStr">
        <is>
          <t>€34.0k</t>
        </is>
      </c>
      <c r="H75" s="28" t="inlineStr">
        <is>
          <t>€40.0k</t>
        </is>
      </c>
      <c r="I75" s="28" t="inlineStr">
        <is>
          <t>€44.0k</t>
        </is>
      </c>
      <c r="J75" s="28" t="inlineStr">
        <is>
          <t>€50.0k</t>
        </is>
      </c>
      <c r="K75" s="28" t="inlineStr">
        <is>
          <t>€50.0k</t>
        </is>
      </c>
      <c r="L75" s="26" t="inlineStr">
        <is>
          <t>€275k</t>
        </is>
      </c>
    </row>
    <row r="77">
      <c r="A77" s="20" t="inlineStr">
        <is>
          <t>DEAL FLOW (from AE capacity)</t>
        </is>
      </c>
    </row>
    <row r="78">
      <c r="A78" s="22" t="inlineStr">
        <is>
          <t>Type</t>
        </is>
      </c>
      <c r="B78" s="22" t="inlineStr"/>
      <c r="C78" s="22" t="inlineStr">
        <is>
          <t>Apr</t>
        </is>
      </c>
      <c r="D78" s="22" t="inlineStr">
        <is>
          <t>May</t>
        </is>
      </c>
      <c r="E78" s="22" t="inlineStr">
        <is>
          <t>Jun</t>
        </is>
      </c>
      <c r="F78" s="22" t="inlineStr">
        <is>
          <t>Jul</t>
        </is>
      </c>
      <c r="G78" s="22" t="inlineStr">
        <is>
          <t>Aug</t>
        </is>
      </c>
      <c r="H78" s="22" t="inlineStr">
        <is>
          <t>Sep</t>
        </is>
      </c>
      <c r="I78" s="22" t="inlineStr">
        <is>
          <t>Oct</t>
        </is>
      </c>
      <c r="J78" s="22" t="inlineStr">
        <is>
          <t>Nov</t>
        </is>
      </c>
      <c r="K78" s="22" t="inlineStr">
        <is>
          <t>Dec</t>
        </is>
      </c>
      <c r="L78" s="22" t="inlineStr">
        <is>
          <t>Total</t>
        </is>
      </c>
    </row>
    <row r="79">
      <c r="A79" s="23" t="inlineStr">
        <is>
          <t>Pilots (€15K)</t>
        </is>
      </c>
      <c r="C79" s="28" t="n">
        <v>1</v>
      </c>
      <c r="D79" s="28" t="n">
        <v>1</v>
      </c>
      <c r="E79" s="28" t="n">
        <v>2</v>
      </c>
      <c r="F79" s="28" t="n">
        <v>4</v>
      </c>
      <c r="G79" s="28" t="n">
        <v>5</v>
      </c>
      <c r="H79" s="28" t="n">
        <v>7</v>
      </c>
      <c r="I79" s="28" t="n">
        <v>8</v>
      </c>
      <c r="J79" s="28" t="n">
        <v>9</v>
      </c>
      <c r="K79" s="28" t="n">
        <v>10</v>
      </c>
      <c r="L79" s="26" t="n">
        <v>47</v>
      </c>
    </row>
    <row r="80">
      <c r="A80" s="23" t="inlineStr">
        <is>
          <t>Medium (€50K)</t>
        </is>
      </c>
      <c r="C80" s="28" t="n">
        <v>0.3</v>
      </c>
      <c r="D80" s="28" t="n">
        <v>0.3</v>
      </c>
      <c r="E80" s="28" t="n">
        <v>0.5</v>
      </c>
      <c r="F80" s="28" t="n">
        <v>1</v>
      </c>
      <c r="G80" s="28" t="n">
        <v>1.2</v>
      </c>
      <c r="H80" s="28" t="n">
        <v>1.8</v>
      </c>
      <c r="I80" s="28" t="n">
        <v>1.9</v>
      </c>
      <c r="J80" s="28" t="n">
        <v>2.2</v>
      </c>
      <c r="K80" s="28" t="n">
        <v>2.4</v>
      </c>
      <c r="L80" s="26" t="n">
        <v>11.6</v>
      </c>
    </row>
    <row r="81">
      <c r="A81" s="23" t="inlineStr">
        <is>
          <t>Large (€100K)</t>
        </is>
      </c>
      <c r="C81" s="28" t="n">
        <v>0.2</v>
      </c>
      <c r="D81" s="28" t="n">
        <v>0.2</v>
      </c>
      <c r="E81" s="28" t="n">
        <v>0.3</v>
      </c>
      <c r="F81" s="28" t="n">
        <v>0.7</v>
      </c>
      <c r="G81" s="28" t="n">
        <v>0.8</v>
      </c>
      <c r="H81" s="28" t="n">
        <v>1.2</v>
      </c>
      <c r="I81" s="28" t="n">
        <v>1.2</v>
      </c>
      <c r="J81" s="28" t="n">
        <v>1.5</v>
      </c>
      <c r="K81" s="28" t="n">
        <v>1.6</v>
      </c>
      <c r="L81" s="26" t="n">
        <v>7.7</v>
      </c>
    </row>
    <row r="82">
      <c r="A82" s="23" t="inlineStr">
        <is>
          <t>Total deals</t>
        </is>
      </c>
      <c r="C82" s="27" t="n">
        <v>1</v>
      </c>
      <c r="D82" s="27" t="n">
        <v>1</v>
      </c>
      <c r="E82" s="27" t="n">
        <v>2</v>
      </c>
      <c r="F82" s="27" t="n">
        <v>6</v>
      </c>
      <c r="G82" s="27" t="n">
        <v>7</v>
      </c>
      <c r="H82" s="27" t="n">
        <v>10</v>
      </c>
      <c r="I82" s="27" t="n">
        <v>11</v>
      </c>
      <c r="J82" s="27" t="n">
        <v>13</v>
      </c>
      <c r="K82" s="27" t="n">
        <v>14</v>
      </c>
      <c r="L82" s="26" t="n">
        <v>65</v>
      </c>
    </row>
    <row r="84">
      <c r="A84" s="20" t="inlineStr">
        <is>
          <t>ARR WATERFALL</t>
        </is>
      </c>
    </row>
    <row r="85">
      <c r="A85" s="22" t="inlineStr">
        <is>
          <t>Source</t>
        </is>
      </c>
      <c r="B85" s="22" t="inlineStr"/>
      <c r="C85" s="22" t="inlineStr">
        <is>
          <t>Apr</t>
        </is>
      </c>
      <c r="D85" s="22" t="inlineStr">
        <is>
          <t>May</t>
        </is>
      </c>
      <c r="E85" s="22" t="inlineStr">
        <is>
          <t>Jun</t>
        </is>
      </c>
      <c r="F85" s="22" t="inlineStr">
        <is>
          <t>Jul</t>
        </is>
      </c>
      <c r="G85" s="22" t="inlineStr">
        <is>
          <t>Aug</t>
        </is>
      </c>
      <c r="H85" s="22" t="inlineStr">
        <is>
          <t>Sep</t>
        </is>
      </c>
      <c r="I85" s="22" t="inlineStr">
        <is>
          <t>Oct</t>
        </is>
      </c>
      <c r="J85" s="22" t="inlineStr">
        <is>
          <t>Nov</t>
        </is>
      </c>
      <c r="K85" s="22" t="inlineStr">
        <is>
          <t>Dec</t>
        </is>
      </c>
      <c r="L85" s="22" t="inlineStr">
        <is>
          <t>Total</t>
        </is>
      </c>
    </row>
    <row r="86">
      <c r="A86" s="23" t="inlineStr">
        <is>
          <t>New pilot ARR</t>
        </is>
      </c>
      <c r="C86" s="30" t="inlineStr">
        <is>
          <t>€15k</t>
        </is>
      </c>
      <c r="D86" s="30" t="inlineStr">
        <is>
          <t>€15k</t>
        </is>
      </c>
      <c r="E86" s="30" t="inlineStr">
        <is>
          <t>€30k</t>
        </is>
      </c>
      <c r="F86" s="30" t="inlineStr">
        <is>
          <t>€60k</t>
        </is>
      </c>
      <c r="G86" s="30" t="inlineStr">
        <is>
          <t>€75k</t>
        </is>
      </c>
      <c r="H86" s="30" t="inlineStr">
        <is>
          <t>€105k</t>
        </is>
      </c>
      <c r="I86" s="30" t="inlineStr">
        <is>
          <t>€120k</t>
        </is>
      </c>
      <c r="J86" s="30" t="inlineStr">
        <is>
          <t>€135k</t>
        </is>
      </c>
      <c r="K86" s="30" t="inlineStr">
        <is>
          <t>€150k</t>
        </is>
      </c>
      <c r="L86" s="29" t="inlineStr">
        <is>
          <t>€705k</t>
        </is>
      </c>
    </row>
    <row r="87">
      <c r="A87" s="23" t="inlineStr">
        <is>
          <t>New medium ARR</t>
        </is>
      </c>
      <c r="C87" s="30" t="inlineStr">
        <is>
          <t>€15k</t>
        </is>
      </c>
      <c r="D87" s="30" t="inlineStr">
        <is>
          <t>€15k</t>
        </is>
      </c>
      <c r="E87" s="30" t="inlineStr">
        <is>
          <t>€25k</t>
        </is>
      </c>
      <c r="F87" s="30" t="inlineStr">
        <is>
          <t>€50k</t>
        </is>
      </c>
      <c r="G87" s="30" t="inlineStr">
        <is>
          <t>€60k</t>
        </is>
      </c>
      <c r="H87" s="30" t="inlineStr">
        <is>
          <t>€90k</t>
        </is>
      </c>
      <c r="I87" s="30" t="inlineStr">
        <is>
          <t>€95k</t>
        </is>
      </c>
      <c r="J87" s="30" t="inlineStr">
        <is>
          <t>€110k</t>
        </is>
      </c>
      <c r="K87" s="30" t="inlineStr">
        <is>
          <t>€120k</t>
        </is>
      </c>
      <c r="L87" s="29" t="inlineStr">
        <is>
          <t>€580k</t>
        </is>
      </c>
    </row>
    <row r="88">
      <c r="A88" s="23" t="inlineStr">
        <is>
          <t>New large ARR</t>
        </is>
      </c>
      <c r="C88" s="30" t="inlineStr">
        <is>
          <t>€20k</t>
        </is>
      </c>
      <c r="D88" s="30" t="inlineStr">
        <is>
          <t>€20k</t>
        </is>
      </c>
      <c r="E88" s="30" t="inlineStr">
        <is>
          <t>€30k</t>
        </is>
      </c>
      <c r="F88" s="30" t="inlineStr">
        <is>
          <t>€70k</t>
        </is>
      </c>
      <c r="G88" s="30" t="inlineStr">
        <is>
          <t>€80k</t>
        </is>
      </c>
      <c r="H88" s="30" t="inlineStr">
        <is>
          <t>€120k</t>
        </is>
      </c>
      <c r="I88" s="30" t="inlineStr">
        <is>
          <t>€120k</t>
        </is>
      </c>
      <c r="J88" s="30" t="inlineStr">
        <is>
          <t>€150k</t>
        </is>
      </c>
      <c r="K88" s="30" t="inlineStr">
        <is>
          <t>€160k</t>
        </is>
      </c>
      <c r="L88" s="29" t="inlineStr">
        <is>
          <t>€770k</t>
        </is>
      </c>
    </row>
    <row r="89">
      <c r="A89" s="23" t="inlineStr">
        <is>
          <t>New deal ARR /mo</t>
        </is>
      </c>
      <c r="C89" s="27" t="inlineStr">
        <is>
          <t>€50k</t>
        </is>
      </c>
      <c r="D89" s="27" t="inlineStr">
        <is>
          <t>€50k</t>
        </is>
      </c>
      <c r="E89" s="27" t="inlineStr">
        <is>
          <t>€85k</t>
        </is>
      </c>
      <c r="F89" s="27" t="inlineStr">
        <is>
          <t>€180k</t>
        </is>
      </c>
      <c r="G89" s="27" t="inlineStr">
        <is>
          <t>€215k</t>
        </is>
      </c>
      <c r="H89" s="27" t="inlineStr">
        <is>
          <t>€315k</t>
        </is>
      </c>
      <c r="I89" s="27" t="inlineStr">
        <is>
          <t>€335k</t>
        </is>
      </c>
      <c r="J89" s="27" t="inlineStr">
        <is>
          <t>€395k</t>
        </is>
      </c>
      <c r="K89" s="27" t="inlineStr">
        <is>
          <t>€430k</t>
        </is>
      </c>
      <c r="L89" s="26" t="inlineStr">
        <is>
          <t>€2.06M</t>
        </is>
      </c>
    </row>
    <row r="90">
      <c r="A90" s="23" t="inlineStr">
        <is>
          <t>Cum. new deal ARR</t>
        </is>
      </c>
      <c r="B90" s="24">
        <f> €2M target</f>
        <v/>
      </c>
      <c r="C90" s="38" t="inlineStr">
        <is>
          <t>€50k</t>
        </is>
      </c>
      <c r="D90" s="38" t="inlineStr">
        <is>
          <t>€100k</t>
        </is>
      </c>
      <c r="E90" s="38" t="inlineStr">
        <is>
          <t>€185k</t>
        </is>
      </c>
      <c r="F90" s="38" t="inlineStr">
        <is>
          <t>€365k</t>
        </is>
      </c>
      <c r="G90" s="38" t="inlineStr">
        <is>
          <t>€580k</t>
        </is>
      </c>
      <c r="H90" s="38" t="inlineStr">
        <is>
          <t>€895k</t>
        </is>
      </c>
      <c r="I90" s="38" t="inlineStr">
        <is>
          <t>€1.23M</t>
        </is>
      </c>
      <c r="J90" s="38" t="inlineStr">
        <is>
          <t>€1.62M</t>
        </is>
      </c>
      <c r="K90" s="38" t="inlineStr">
        <is>
          <t>€2.06M</t>
        </is>
      </c>
      <c r="L90" s="41" t="inlineStr">
        <is>
          <t>€2.06M</t>
        </is>
      </c>
    </row>
    <row r="91">
      <c r="A91" s="23" t="inlineStr">
        <is>
          <t>Expansion ARR /mo</t>
        </is>
      </c>
      <c r="B91" s="33" t="inlineStr">
        <is>
          <t>upside</t>
        </is>
      </c>
      <c r="C91" s="34" t="inlineStr">
        <is>
          <t>-</t>
        </is>
      </c>
      <c r="D91" s="34" t="inlineStr">
        <is>
          <t>-</t>
        </is>
      </c>
      <c r="E91" s="34" t="inlineStr">
        <is>
          <t>-</t>
        </is>
      </c>
      <c r="F91" s="34" t="inlineStr">
        <is>
          <t>-</t>
        </is>
      </c>
      <c r="G91" s="34" t="inlineStr">
        <is>
          <t>-</t>
        </is>
      </c>
      <c r="H91" s="34" t="inlineStr">
        <is>
          <t>€22k</t>
        </is>
      </c>
      <c r="I91" s="34" t="inlineStr">
        <is>
          <t>€22k</t>
        </is>
      </c>
      <c r="J91" s="34" t="inlineStr">
        <is>
          <t>€45k</t>
        </is>
      </c>
      <c r="K91" s="34" t="inlineStr">
        <is>
          <t>€90k</t>
        </is>
      </c>
      <c r="L91" s="29" t="inlineStr">
        <is>
          <t>+€180k</t>
        </is>
      </c>
    </row>
    <row r="92">
      <c r="A92" s="23" t="inlineStr">
        <is>
          <t>Total ARR (incl exp.)</t>
        </is>
      </c>
      <c r="C92" s="35" t="inlineStr">
        <is>
          <t>€50k</t>
        </is>
      </c>
      <c r="D92" s="35" t="inlineStr">
        <is>
          <t>€100k</t>
        </is>
      </c>
      <c r="E92" s="35" t="inlineStr">
        <is>
          <t>€185k</t>
        </is>
      </c>
      <c r="F92" s="35" t="inlineStr">
        <is>
          <t>€365k</t>
        </is>
      </c>
      <c r="G92" s="35" t="inlineStr">
        <is>
          <t>€580k</t>
        </is>
      </c>
      <c r="H92" s="35" t="inlineStr">
        <is>
          <t>€918k</t>
        </is>
      </c>
      <c r="I92" s="35" t="inlineStr">
        <is>
          <t>€1.27M</t>
        </is>
      </c>
      <c r="J92" s="35" t="inlineStr">
        <is>
          <t>€1.72M</t>
        </is>
      </c>
      <c r="K92" s="35" t="inlineStr">
        <is>
          <t>€2.23M</t>
        </is>
      </c>
      <c r="L92" s="36" t="inlineStr">
        <is>
          <t>€2.23M</t>
        </is>
      </c>
    </row>
    <row r="94">
      <c r="A94" s="20" t="inlineStr">
        <is>
          <t>BDR FUNNEL MATH</t>
        </is>
      </c>
    </row>
    <row r="95">
      <c r="A95" s="18" t="inlineStr">
        <is>
          <t>Pilots: 47 deals ÷ 10% = 470 meetings</t>
        </is>
      </c>
    </row>
    <row r="96">
      <c r="A96" s="18" t="inlineStr">
        <is>
          <t>Medium: 12 deals ÷ 10% = 116 meetings</t>
        </is>
      </c>
    </row>
    <row r="97">
      <c r="A97" s="18" t="inlineStr">
        <is>
          <t>Large: 8 deals ÷ 5% = 154 meetings</t>
        </is>
      </c>
    </row>
    <row r="98">
      <c r="A98" s="37" t="inlineStr">
        <is>
          <t>Total: 740 meetings ÷ 9 mo = 82/mo</t>
        </is>
      </c>
    </row>
    <row r="99">
      <c r="A99" s="37" t="inlineStr">
        <is>
          <t>82/mo ÷ 15 mtgs/BDR = 5 BDRs needed</t>
        </is>
      </c>
    </row>
    <row r="101">
      <c r="A101" s="20" t="inlineStr">
        <is>
          <t>AE CAPACITY vs PLAN</t>
        </is>
      </c>
    </row>
    <row r="102">
      <c r="A102" s="22" t="inlineStr">
        <is>
          <t>Metric</t>
        </is>
      </c>
      <c r="B102" s="22" t="inlineStr"/>
      <c r="C102" s="22" t="inlineStr">
        <is>
          <t>Apr</t>
        </is>
      </c>
      <c r="D102" s="22" t="inlineStr">
        <is>
          <t>May</t>
        </is>
      </c>
      <c r="E102" s="22" t="inlineStr">
        <is>
          <t>Jun</t>
        </is>
      </c>
      <c r="F102" s="22" t="inlineStr">
        <is>
          <t>Jul</t>
        </is>
      </c>
      <c r="G102" s="22" t="inlineStr">
        <is>
          <t>Aug</t>
        </is>
      </c>
      <c r="H102" s="22" t="inlineStr">
        <is>
          <t>Sep</t>
        </is>
      </c>
      <c r="I102" s="22" t="inlineStr">
        <is>
          <t>Oct</t>
        </is>
      </c>
      <c r="J102" s="22" t="inlineStr">
        <is>
          <t>Nov</t>
        </is>
      </c>
      <c r="K102" s="22" t="inlineStr">
        <is>
          <t>Dec</t>
        </is>
      </c>
      <c r="L102" s="22" t="inlineStr">
        <is>
          <t>Total</t>
        </is>
      </c>
    </row>
    <row r="103">
      <c r="A103" s="23" t="inlineStr">
        <is>
          <t>Revenue plan</t>
        </is>
      </c>
      <c r="C103" s="30" t="inlineStr">
        <is>
          <t>€50k</t>
        </is>
      </c>
      <c r="D103" s="30" t="inlineStr">
        <is>
          <t>€50k</t>
        </is>
      </c>
      <c r="E103" s="30" t="inlineStr">
        <is>
          <t>€85k</t>
        </is>
      </c>
      <c r="F103" s="30" t="inlineStr">
        <is>
          <t>€180k</t>
        </is>
      </c>
      <c r="G103" s="30" t="inlineStr">
        <is>
          <t>€215k</t>
        </is>
      </c>
      <c r="H103" s="30" t="inlineStr">
        <is>
          <t>€315k</t>
        </is>
      </c>
      <c r="I103" s="30" t="inlineStr">
        <is>
          <t>€335k</t>
        </is>
      </c>
      <c r="J103" s="30" t="inlineStr">
        <is>
          <t>€395k</t>
        </is>
      </c>
      <c r="K103" s="30" t="inlineStr">
        <is>
          <t>€430k</t>
        </is>
      </c>
      <c r="L103" s="29" t="inlineStr">
        <is>
          <t>€2.06M</t>
        </is>
      </c>
    </row>
    <row r="104">
      <c r="A104" s="23" t="inlineStr">
        <is>
          <t>AE capacity</t>
        </is>
      </c>
      <c r="C104" s="38" t="inlineStr">
        <is>
          <t>€48k</t>
        </is>
      </c>
      <c r="D104" s="38" t="inlineStr">
        <is>
          <t>€48k</t>
        </is>
      </c>
      <c r="E104" s="38" t="inlineStr">
        <is>
          <t>€80k</t>
        </is>
      </c>
      <c r="F104" s="38" t="inlineStr">
        <is>
          <t>€160k</t>
        </is>
      </c>
      <c r="G104" s="38" t="inlineStr">
        <is>
          <t>€200k</t>
        </is>
      </c>
      <c r="H104" s="38" t="inlineStr">
        <is>
          <t>€280k</t>
        </is>
      </c>
      <c r="I104" s="38" t="inlineStr">
        <is>
          <t>€300k</t>
        </is>
      </c>
      <c r="J104" s="38" t="inlineStr">
        <is>
          <t>€360k</t>
        </is>
      </c>
      <c r="K104" s="38" t="inlineStr">
        <is>
          <t>€380k</t>
        </is>
      </c>
      <c r="L104" s="26" t="inlineStr">
        <is>
          <t>€1.86M</t>
        </is>
      </c>
    </row>
    <row r="105">
      <c r="A105" s="23" t="inlineStr">
        <is>
          <t>Monthly gap</t>
        </is>
      </c>
      <c r="C105" s="39" t="inlineStr">
        <is>
          <t>-€2k</t>
        </is>
      </c>
      <c r="D105" s="39" t="inlineStr">
        <is>
          <t>-€2k</t>
        </is>
      </c>
      <c r="E105" s="39" t="inlineStr">
        <is>
          <t>-€5k</t>
        </is>
      </c>
      <c r="F105" s="39" t="inlineStr">
        <is>
          <t>-€20k</t>
        </is>
      </c>
      <c r="G105" s="39" t="inlineStr">
        <is>
          <t>-€15k</t>
        </is>
      </c>
      <c r="H105" s="39" t="inlineStr">
        <is>
          <t>-€35k</t>
        </is>
      </c>
      <c r="I105" s="39" t="inlineStr">
        <is>
          <t>-€35k</t>
        </is>
      </c>
      <c r="J105" s="39" t="inlineStr">
        <is>
          <t>-€35k</t>
        </is>
      </c>
      <c r="K105" s="39" t="inlineStr">
        <is>
          <t>-€50k</t>
        </is>
      </c>
      <c r="L105" s="40" t="inlineStr">
        <is>
          <t>-€199k</t>
        </is>
      </c>
    </row>
    <row r="108">
      <c r="A108" s="17" t="inlineStr">
        <is>
          <t>SCENARIO 3: HYPER-PUSH</t>
        </is>
      </c>
    </row>
    <row r="109">
      <c r="A109" s="19" t="inlineStr">
        <is>
          <t>Maximum velocity — go for €3M+, build the machine now</t>
        </is>
      </c>
    </row>
    <row r="111">
      <c r="A111" s="20" t="inlineStr">
        <is>
          <t>NARRATIVE</t>
        </is>
      </c>
    </row>
    <row r="112">
      <c r="A112" s="21" t="inlineStr">
        <is>
          <t>The hyper-push scenario treats MM as a proven motion and staffs it like one. Victor goes full-time in May (not June), three new AEs start in June-July, with two more in September and another in November. BDR team scales to 6 by Q4. This is the 'build the revenue engine before you need it' play.</t>
        </is>
      </c>
    </row>
    <row r="113">
      <c r="A113" s="21" t="inlineStr">
        <is>
          <t>Key bet: leadership talent. With 6+ AEs by Q4, we need an MM team lead by August — someone who can run pipeline reviews, maintain process quality, and keep close rates stable across a growing team. Without that hire, AE variance will eat the model. We also need solutioning capacity: at 3+ large deals/quarter, pre-sales becomes a bottleneck.</t>
        </is>
      </c>
    </row>
    <row r="114">
      <c r="A114" s="21" t="inlineStr">
        <is>
          <t>Risk profile: HIGH. Monthly burn hits €62K by December. If the motion stalls (sub-30% pilot conversion, or sub-5% large deal close rate), we're carrying expensive headcount against a thesis that hasn't proven. But if it works: €3.5M new deal ARR + expansion puts MM on track for €5M+ run-rate entering 2027.</t>
        </is>
      </c>
    </row>
    <row r="116">
      <c r="A116" s="20" t="inlineStr">
        <is>
          <t>HEADCOUNT</t>
        </is>
      </c>
    </row>
    <row r="117">
      <c r="A117" s="22" t="inlineStr">
        <is>
          <t>Role</t>
        </is>
      </c>
      <c r="B117" s="22" t="inlineStr">
        <is>
          <t>Type</t>
        </is>
      </c>
      <c r="C117" s="22" t="inlineStr">
        <is>
          <t>Apr</t>
        </is>
      </c>
      <c r="D117" s="22" t="inlineStr">
        <is>
          <t>May</t>
        </is>
      </c>
      <c r="E117" s="22" t="inlineStr">
        <is>
          <t>Jun</t>
        </is>
      </c>
      <c r="F117" s="22" t="inlineStr">
        <is>
          <t>Jul</t>
        </is>
      </c>
      <c r="G117" s="22" t="inlineStr">
        <is>
          <t>Aug</t>
        </is>
      </c>
      <c r="H117" s="22" t="inlineStr">
        <is>
          <t>Sep</t>
        </is>
      </c>
      <c r="I117" s="22" t="inlineStr">
        <is>
          <t>Oct</t>
        </is>
      </c>
      <c r="J117" s="22" t="inlineStr">
        <is>
          <t>Nov</t>
        </is>
      </c>
      <c r="K117" s="22" t="inlineStr">
        <is>
          <t>Dec</t>
        </is>
      </c>
      <c r="L117" s="22" t="inlineStr">
        <is>
          <t>Total</t>
        </is>
      </c>
    </row>
    <row r="118">
      <c r="A118" s="23" t="inlineStr">
        <is>
          <t>AEs (ramped)</t>
        </is>
      </c>
      <c r="B118" s="24" t="inlineStr">
        <is>
          <t>FTE</t>
        </is>
      </c>
      <c r="C118" s="25" t="n">
        <v>0.6</v>
      </c>
      <c r="D118" s="25" t="n">
        <v>1</v>
      </c>
      <c r="E118" s="25" t="n">
        <v>1</v>
      </c>
      <c r="F118" s="25" t="n">
        <v>1</v>
      </c>
      <c r="G118" s="25" t="n">
        <v>1</v>
      </c>
      <c r="H118" s="25" t="n">
        <v>1</v>
      </c>
      <c r="I118" s="25" t="n">
        <v>1</v>
      </c>
      <c r="J118" s="25" t="n">
        <v>1</v>
      </c>
      <c r="K118" s="25" t="n">
        <v>1</v>
      </c>
      <c r="L118" s="26" t="n">
        <v>1</v>
      </c>
    </row>
    <row r="119">
      <c r="A119" s="23" t="inlineStr">
        <is>
          <t>AEs (new hires)</t>
        </is>
      </c>
      <c r="B119" s="24" t="inlineStr">
        <is>
          <t>Cumulative</t>
        </is>
      </c>
      <c r="C119" s="25" t="n">
        <v>0</v>
      </c>
      <c r="D119" s="25" t="n">
        <v>0</v>
      </c>
      <c r="E119" s="25" t="n">
        <v>1</v>
      </c>
      <c r="F119" s="25" t="n">
        <v>3</v>
      </c>
      <c r="G119" s="25" t="n">
        <v>3</v>
      </c>
      <c r="H119" s="25" t="n">
        <v>5</v>
      </c>
      <c r="I119" s="25" t="n">
        <v>5</v>
      </c>
      <c r="J119" s="25" t="n">
        <v>6</v>
      </c>
      <c r="K119" s="25" t="n">
        <v>6</v>
      </c>
      <c r="L119" s="26" t="n">
        <v>6</v>
      </c>
    </row>
    <row r="120">
      <c r="A120" s="23" t="inlineStr">
        <is>
          <t>Total AEs</t>
        </is>
      </c>
      <c r="C120" s="27" t="n">
        <v>0.6</v>
      </c>
      <c r="D120" s="27" t="n">
        <v>1</v>
      </c>
      <c r="E120" s="27" t="n">
        <v>2</v>
      </c>
      <c r="F120" s="27" t="n">
        <v>4</v>
      </c>
      <c r="G120" s="27" t="n">
        <v>4</v>
      </c>
      <c r="H120" s="27" t="n">
        <v>6</v>
      </c>
      <c r="I120" s="27" t="n">
        <v>6</v>
      </c>
      <c r="J120" s="27" t="n">
        <v>7</v>
      </c>
      <c r="K120" s="27" t="n">
        <v>7</v>
      </c>
      <c r="L120" s="26" t="n">
        <v>7</v>
      </c>
    </row>
    <row r="121">
      <c r="A121" s="23" t="inlineStr">
        <is>
          <t>Effective AEs</t>
        </is>
      </c>
      <c r="B121" s="24" t="inlineStr">
        <is>
          <t>incl. ramp</t>
        </is>
      </c>
      <c r="C121" s="28" t="n">
        <v>0.6</v>
      </c>
      <c r="D121" s="28" t="n">
        <v>1</v>
      </c>
      <c r="E121" s="28" t="n">
        <v>1.5</v>
      </c>
      <c r="F121" s="28" t="n">
        <v>2.75</v>
      </c>
      <c r="G121" s="28" t="n">
        <v>3.5</v>
      </c>
      <c r="H121" s="28" t="n">
        <v>5</v>
      </c>
      <c r="I121" s="28" t="n">
        <v>5.5</v>
      </c>
      <c r="J121" s="28" t="n">
        <v>6.5</v>
      </c>
      <c r="K121" s="28" t="n">
        <v>6.75</v>
      </c>
      <c r="L121" s="29" t="inlineStr">
        <is>
          <t>6.8</t>
        </is>
      </c>
    </row>
    <row r="122">
      <c r="A122" s="23" t="inlineStr">
        <is>
          <t>BDRs</t>
        </is>
      </c>
      <c r="B122" s="24" t="inlineStr">
        <is>
          <t>FTE</t>
        </is>
      </c>
      <c r="C122" s="25" t="n">
        <v>0.4</v>
      </c>
      <c r="D122" s="25" t="n">
        <v>1</v>
      </c>
      <c r="E122" s="25" t="n">
        <v>2</v>
      </c>
      <c r="F122" s="25" t="n">
        <v>3</v>
      </c>
      <c r="G122" s="25" t="n">
        <v>4</v>
      </c>
      <c r="H122" s="25" t="n">
        <v>5</v>
      </c>
      <c r="I122" s="25" t="n">
        <v>6</v>
      </c>
      <c r="J122" s="25" t="n">
        <v>6</v>
      </c>
      <c r="K122" s="25" t="n">
        <v>6</v>
      </c>
      <c r="L122" s="26" t="n">
        <v>6</v>
      </c>
    </row>
    <row r="123">
      <c r="A123" s="23" t="inlineStr">
        <is>
          <t>Total headcount</t>
        </is>
      </c>
      <c r="C123" s="27" t="n">
        <v>1</v>
      </c>
      <c r="D123" s="27" t="n">
        <v>2</v>
      </c>
      <c r="E123" s="27" t="n">
        <v>4</v>
      </c>
      <c r="F123" s="27" t="n">
        <v>7</v>
      </c>
      <c r="G123" s="27" t="n">
        <v>8</v>
      </c>
      <c r="H123" s="27" t="n">
        <v>11</v>
      </c>
      <c r="I123" s="27" t="n">
        <v>12</v>
      </c>
      <c r="J123" s="27" t="n">
        <v>13</v>
      </c>
      <c r="K123" s="27" t="n">
        <v>13</v>
      </c>
      <c r="L123" s="26" t="n">
        <v>13</v>
      </c>
    </row>
    <row r="124">
      <c r="A124" s="23" t="inlineStr">
        <is>
          <t>Monthly cost</t>
        </is>
      </c>
      <c r="C124" s="28" t="inlineStr">
        <is>
          <t>€5.2k</t>
        </is>
      </c>
      <c r="D124" s="28" t="inlineStr">
        <is>
          <t>€10.0k</t>
        </is>
      </c>
      <c r="E124" s="28" t="inlineStr">
        <is>
          <t>€20.0k</t>
        </is>
      </c>
      <c r="F124" s="28" t="inlineStr">
        <is>
          <t>€36.0k</t>
        </is>
      </c>
      <c r="G124" s="28" t="inlineStr">
        <is>
          <t>€40.0k</t>
        </is>
      </c>
      <c r="H124" s="28" t="inlineStr">
        <is>
          <t>€56.0k</t>
        </is>
      </c>
      <c r="I124" s="28" t="inlineStr">
        <is>
          <t>€60.0k</t>
        </is>
      </c>
      <c r="J124" s="28" t="inlineStr">
        <is>
          <t>€66.0k</t>
        </is>
      </c>
      <c r="K124" s="28" t="inlineStr">
        <is>
          <t>€66.0k</t>
        </is>
      </c>
      <c r="L124" s="26" t="inlineStr">
        <is>
          <t>€359k</t>
        </is>
      </c>
    </row>
    <row r="126">
      <c r="A126" s="20" t="inlineStr">
        <is>
          <t>DEAL FLOW (from AE capacity)</t>
        </is>
      </c>
    </row>
    <row r="127">
      <c r="A127" s="22" t="inlineStr">
        <is>
          <t>Type</t>
        </is>
      </c>
      <c r="B127" s="22" t="inlineStr"/>
      <c r="C127" s="22" t="inlineStr">
        <is>
          <t>Apr</t>
        </is>
      </c>
      <c r="D127" s="22" t="inlineStr">
        <is>
          <t>May</t>
        </is>
      </c>
      <c r="E127" s="22" t="inlineStr">
        <is>
          <t>Jun</t>
        </is>
      </c>
      <c r="F127" s="22" t="inlineStr">
        <is>
          <t>Jul</t>
        </is>
      </c>
      <c r="G127" s="22" t="inlineStr">
        <is>
          <t>Aug</t>
        </is>
      </c>
      <c r="H127" s="22" t="inlineStr">
        <is>
          <t>Sep</t>
        </is>
      </c>
      <c r="I127" s="22" t="inlineStr">
        <is>
          <t>Oct</t>
        </is>
      </c>
      <c r="J127" s="22" t="inlineStr">
        <is>
          <t>Nov</t>
        </is>
      </c>
      <c r="K127" s="22" t="inlineStr">
        <is>
          <t>Dec</t>
        </is>
      </c>
      <c r="L127" s="22" t="inlineStr">
        <is>
          <t>Total</t>
        </is>
      </c>
    </row>
    <row r="128">
      <c r="A128" s="23" t="inlineStr">
        <is>
          <t>Pilots (€15K)</t>
        </is>
      </c>
      <c r="C128" s="28" t="n">
        <v>1</v>
      </c>
      <c r="D128" s="28" t="n">
        <v>2</v>
      </c>
      <c r="E128" s="28" t="n">
        <v>3</v>
      </c>
      <c r="F128" s="28" t="n">
        <v>6</v>
      </c>
      <c r="G128" s="28" t="n">
        <v>7</v>
      </c>
      <c r="H128" s="28" t="n">
        <v>10</v>
      </c>
      <c r="I128" s="28" t="n">
        <v>11</v>
      </c>
      <c r="J128" s="28" t="n">
        <v>13</v>
      </c>
      <c r="K128" s="28" t="n">
        <v>14</v>
      </c>
      <c r="L128" s="26" t="n">
        <v>67</v>
      </c>
    </row>
    <row r="129">
      <c r="A129" s="23" t="inlineStr">
        <is>
          <t>Medium (€50K)</t>
        </is>
      </c>
      <c r="C129" s="28" t="n">
        <v>0.3</v>
      </c>
      <c r="D129" s="28" t="n">
        <v>0.5</v>
      </c>
      <c r="E129" s="28" t="n">
        <v>0.8</v>
      </c>
      <c r="F129" s="28" t="n">
        <v>1.4</v>
      </c>
      <c r="G129" s="28" t="n">
        <v>1.8</v>
      </c>
      <c r="H129" s="28" t="n">
        <v>2.5</v>
      </c>
      <c r="I129" s="28" t="n">
        <v>2.8</v>
      </c>
      <c r="J129" s="28" t="n">
        <v>3.2</v>
      </c>
      <c r="K129" s="28" t="n">
        <v>3.4</v>
      </c>
      <c r="L129" s="26" t="n">
        <v>16.7</v>
      </c>
    </row>
    <row r="130">
      <c r="A130" s="23" t="inlineStr">
        <is>
          <t>Large (€100K)</t>
        </is>
      </c>
      <c r="C130" s="28" t="n">
        <v>0.2</v>
      </c>
      <c r="D130" s="28" t="n">
        <v>0.3</v>
      </c>
      <c r="E130" s="28" t="n">
        <v>0.5</v>
      </c>
      <c r="F130" s="28" t="n">
        <v>0.9</v>
      </c>
      <c r="G130" s="28" t="n">
        <v>1.2</v>
      </c>
      <c r="H130" s="28" t="n">
        <v>1.7</v>
      </c>
      <c r="I130" s="28" t="n">
        <v>1.8</v>
      </c>
      <c r="J130" s="28" t="n">
        <v>2.2</v>
      </c>
      <c r="K130" s="28" t="n">
        <v>2.2</v>
      </c>
      <c r="L130" s="26" t="n">
        <v>11</v>
      </c>
    </row>
    <row r="131">
      <c r="A131" s="23" t="inlineStr">
        <is>
          <t>Total deals</t>
        </is>
      </c>
      <c r="C131" s="27" t="n">
        <v>1</v>
      </c>
      <c r="D131" s="27" t="n">
        <v>2</v>
      </c>
      <c r="E131" s="27" t="n">
        <v>4</v>
      </c>
      <c r="F131" s="27" t="n">
        <v>8</v>
      </c>
      <c r="G131" s="27" t="n">
        <v>10</v>
      </c>
      <c r="H131" s="27" t="n">
        <v>14</v>
      </c>
      <c r="I131" s="27" t="n">
        <v>16</v>
      </c>
      <c r="J131" s="27" t="n">
        <v>18</v>
      </c>
      <c r="K131" s="27" t="n">
        <v>19</v>
      </c>
      <c r="L131" s="26" t="n">
        <v>92</v>
      </c>
    </row>
    <row r="133">
      <c r="A133" s="20" t="inlineStr">
        <is>
          <t>ARR WATERFALL</t>
        </is>
      </c>
    </row>
    <row r="134">
      <c r="A134" s="22" t="inlineStr">
        <is>
          <t>Source</t>
        </is>
      </c>
      <c r="B134" s="22" t="inlineStr"/>
      <c r="C134" s="22" t="inlineStr">
        <is>
          <t>Apr</t>
        </is>
      </c>
      <c r="D134" s="22" t="inlineStr">
        <is>
          <t>May</t>
        </is>
      </c>
      <c r="E134" s="22" t="inlineStr">
        <is>
          <t>Jun</t>
        </is>
      </c>
      <c r="F134" s="22" t="inlineStr">
        <is>
          <t>Jul</t>
        </is>
      </c>
      <c r="G134" s="22" t="inlineStr">
        <is>
          <t>Aug</t>
        </is>
      </c>
      <c r="H134" s="22" t="inlineStr">
        <is>
          <t>Sep</t>
        </is>
      </c>
      <c r="I134" s="22" t="inlineStr">
        <is>
          <t>Oct</t>
        </is>
      </c>
      <c r="J134" s="22" t="inlineStr">
        <is>
          <t>Nov</t>
        </is>
      </c>
      <c r="K134" s="22" t="inlineStr">
        <is>
          <t>Dec</t>
        </is>
      </c>
      <c r="L134" s="22" t="inlineStr">
        <is>
          <t>Total</t>
        </is>
      </c>
    </row>
    <row r="135">
      <c r="A135" s="23" t="inlineStr">
        <is>
          <t>New pilot ARR</t>
        </is>
      </c>
      <c r="C135" s="30" t="inlineStr">
        <is>
          <t>€15k</t>
        </is>
      </c>
      <c r="D135" s="30" t="inlineStr">
        <is>
          <t>€30k</t>
        </is>
      </c>
      <c r="E135" s="30" t="inlineStr">
        <is>
          <t>€45k</t>
        </is>
      </c>
      <c r="F135" s="30" t="inlineStr">
        <is>
          <t>€90k</t>
        </is>
      </c>
      <c r="G135" s="30" t="inlineStr">
        <is>
          <t>€105k</t>
        </is>
      </c>
      <c r="H135" s="30" t="inlineStr">
        <is>
          <t>€150k</t>
        </is>
      </c>
      <c r="I135" s="30" t="inlineStr">
        <is>
          <t>€165k</t>
        </is>
      </c>
      <c r="J135" s="30" t="inlineStr">
        <is>
          <t>€195k</t>
        </is>
      </c>
      <c r="K135" s="30" t="inlineStr">
        <is>
          <t>€210k</t>
        </is>
      </c>
      <c r="L135" s="29" t="inlineStr">
        <is>
          <t>€1.00M</t>
        </is>
      </c>
    </row>
    <row r="136">
      <c r="A136" s="23" t="inlineStr">
        <is>
          <t>New medium ARR</t>
        </is>
      </c>
      <c r="C136" s="30" t="inlineStr">
        <is>
          <t>€15k</t>
        </is>
      </c>
      <c r="D136" s="30" t="inlineStr">
        <is>
          <t>€25k</t>
        </is>
      </c>
      <c r="E136" s="30" t="inlineStr">
        <is>
          <t>€40k</t>
        </is>
      </c>
      <c r="F136" s="30" t="inlineStr">
        <is>
          <t>€70k</t>
        </is>
      </c>
      <c r="G136" s="30" t="inlineStr">
        <is>
          <t>€90k</t>
        </is>
      </c>
      <c r="H136" s="30" t="inlineStr">
        <is>
          <t>€125k</t>
        </is>
      </c>
      <c r="I136" s="30" t="inlineStr">
        <is>
          <t>€140k</t>
        </is>
      </c>
      <c r="J136" s="30" t="inlineStr">
        <is>
          <t>€160k</t>
        </is>
      </c>
      <c r="K136" s="30" t="inlineStr">
        <is>
          <t>€170k</t>
        </is>
      </c>
      <c r="L136" s="29" t="inlineStr">
        <is>
          <t>€835k</t>
        </is>
      </c>
    </row>
    <row r="137">
      <c r="A137" s="23" t="inlineStr">
        <is>
          <t>New large ARR</t>
        </is>
      </c>
      <c r="C137" s="30" t="inlineStr">
        <is>
          <t>€20k</t>
        </is>
      </c>
      <c r="D137" s="30" t="inlineStr">
        <is>
          <t>€30k</t>
        </is>
      </c>
      <c r="E137" s="30" t="inlineStr">
        <is>
          <t>€50k</t>
        </is>
      </c>
      <c r="F137" s="30" t="inlineStr">
        <is>
          <t>€90k</t>
        </is>
      </c>
      <c r="G137" s="30" t="inlineStr">
        <is>
          <t>€120k</t>
        </is>
      </c>
      <c r="H137" s="30" t="inlineStr">
        <is>
          <t>€170k</t>
        </is>
      </c>
      <c r="I137" s="30" t="inlineStr">
        <is>
          <t>€180k</t>
        </is>
      </c>
      <c r="J137" s="30" t="inlineStr">
        <is>
          <t>€220k</t>
        </is>
      </c>
      <c r="K137" s="30" t="inlineStr">
        <is>
          <t>€220k</t>
        </is>
      </c>
      <c r="L137" s="29" t="inlineStr">
        <is>
          <t>€1.10M</t>
        </is>
      </c>
    </row>
    <row r="138">
      <c r="A138" s="23" t="inlineStr">
        <is>
          <t>New deal ARR /mo</t>
        </is>
      </c>
      <c r="C138" s="27" t="inlineStr">
        <is>
          <t>€50k</t>
        </is>
      </c>
      <c r="D138" s="27" t="inlineStr">
        <is>
          <t>€85k</t>
        </is>
      </c>
      <c r="E138" s="27" t="inlineStr">
        <is>
          <t>€135k</t>
        </is>
      </c>
      <c r="F138" s="27" t="inlineStr">
        <is>
          <t>€250k</t>
        </is>
      </c>
      <c r="G138" s="27" t="inlineStr">
        <is>
          <t>€315k</t>
        </is>
      </c>
      <c r="H138" s="27" t="inlineStr">
        <is>
          <t>€445k</t>
        </is>
      </c>
      <c r="I138" s="27" t="inlineStr">
        <is>
          <t>€485k</t>
        </is>
      </c>
      <c r="J138" s="27" t="inlineStr">
        <is>
          <t>€575k</t>
        </is>
      </c>
      <c r="K138" s="27" t="inlineStr">
        <is>
          <t>€600k</t>
        </is>
      </c>
      <c r="L138" s="26" t="inlineStr">
        <is>
          <t>€2.94M</t>
        </is>
      </c>
    </row>
    <row r="139">
      <c r="A139" s="23" t="inlineStr">
        <is>
          <t>Cum. new deal ARR</t>
        </is>
      </c>
      <c r="B139" s="24">
        <f> €2M target</f>
        <v/>
      </c>
      <c r="C139" s="38" t="inlineStr">
        <is>
          <t>€50k</t>
        </is>
      </c>
      <c r="D139" s="38" t="inlineStr">
        <is>
          <t>€135k</t>
        </is>
      </c>
      <c r="E139" s="38" t="inlineStr">
        <is>
          <t>€270k</t>
        </is>
      </c>
      <c r="F139" s="38" t="inlineStr">
        <is>
          <t>€520k</t>
        </is>
      </c>
      <c r="G139" s="38" t="inlineStr">
        <is>
          <t>€835k</t>
        </is>
      </c>
      <c r="H139" s="38" t="inlineStr">
        <is>
          <t>€1.28M</t>
        </is>
      </c>
      <c r="I139" s="38" t="inlineStr">
        <is>
          <t>€1.76M</t>
        </is>
      </c>
      <c r="J139" s="38" t="inlineStr">
        <is>
          <t>€2.34M</t>
        </is>
      </c>
      <c r="K139" s="38" t="inlineStr">
        <is>
          <t>€2.94M</t>
        </is>
      </c>
      <c r="L139" s="41" t="inlineStr">
        <is>
          <t>€2.94M</t>
        </is>
      </c>
    </row>
    <row r="140">
      <c r="A140" s="23" t="inlineStr">
        <is>
          <t>Expansion ARR /mo</t>
        </is>
      </c>
      <c r="B140" s="33" t="inlineStr">
        <is>
          <t>upside</t>
        </is>
      </c>
      <c r="C140" s="34" t="inlineStr">
        <is>
          <t>-</t>
        </is>
      </c>
      <c r="D140" s="34" t="inlineStr">
        <is>
          <t>-</t>
        </is>
      </c>
      <c r="E140" s="34" t="inlineStr">
        <is>
          <t>-</t>
        </is>
      </c>
      <c r="F140" s="34" t="inlineStr">
        <is>
          <t>-</t>
        </is>
      </c>
      <c r="G140" s="34" t="inlineStr">
        <is>
          <t>-</t>
        </is>
      </c>
      <c r="H140" s="34" t="inlineStr">
        <is>
          <t>€22k</t>
        </is>
      </c>
      <c r="I140" s="34" t="inlineStr">
        <is>
          <t>€45k</t>
        </is>
      </c>
      <c r="J140" s="34" t="inlineStr">
        <is>
          <t>€68k</t>
        </is>
      </c>
      <c r="K140" s="34" t="inlineStr">
        <is>
          <t>€135k</t>
        </is>
      </c>
      <c r="L140" s="29" t="inlineStr">
        <is>
          <t>+€270k</t>
        </is>
      </c>
    </row>
    <row r="141">
      <c r="A141" s="23" t="inlineStr">
        <is>
          <t>Total ARR (incl exp.)</t>
        </is>
      </c>
      <c r="C141" s="35" t="inlineStr">
        <is>
          <t>€50k</t>
        </is>
      </c>
      <c r="D141" s="35" t="inlineStr">
        <is>
          <t>€135k</t>
        </is>
      </c>
      <c r="E141" s="35" t="inlineStr">
        <is>
          <t>€270k</t>
        </is>
      </c>
      <c r="F141" s="35" t="inlineStr">
        <is>
          <t>€520k</t>
        </is>
      </c>
      <c r="G141" s="35" t="inlineStr">
        <is>
          <t>€835k</t>
        </is>
      </c>
      <c r="H141" s="35" t="inlineStr">
        <is>
          <t>€1.30M</t>
        </is>
      </c>
      <c r="I141" s="35" t="inlineStr">
        <is>
          <t>€1.83M</t>
        </is>
      </c>
      <c r="J141" s="35" t="inlineStr">
        <is>
          <t>€2.48M</t>
        </is>
      </c>
      <c r="K141" s="35" t="inlineStr">
        <is>
          <t>€3.21M</t>
        </is>
      </c>
      <c r="L141" s="36" t="inlineStr">
        <is>
          <t>€3.21M</t>
        </is>
      </c>
    </row>
    <row r="143">
      <c r="A143" s="20" t="inlineStr">
        <is>
          <t>BDR FUNNEL MATH</t>
        </is>
      </c>
    </row>
    <row r="144">
      <c r="A144" s="18" t="inlineStr">
        <is>
          <t>Pilots: 67 deals ÷ 10% = 670 meetings</t>
        </is>
      </c>
    </row>
    <row r="145">
      <c r="A145" s="18" t="inlineStr">
        <is>
          <t>Medium: 17 deals ÷ 10% = 167 meetings</t>
        </is>
      </c>
    </row>
    <row r="146">
      <c r="A146" s="18" t="inlineStr">
        <is>
          <t>Large: 11 deals ÷ 5% = 220 meetings</t>
        </is>
      </c>
    </row>
    <row r="147">
      <c r="A147" s="37" t="inlineStr">
        <is>
          <t>Total: 1057 meetings ÷ 9 mo = 117/mo</t>
        </is>
      </c>
    </row>
    <row r="148">
      <c r="A148" s="37" t="inlineStr">
        <is>
          <t>117/mo ÷ 15 mtgs/BDR = 8 BDRs needed</t>
        </is>
      </c>
    </row>
    <row r="150">
      <c r="A150" s="20" t="inlineStr">
        <is>
          <t>AE CAPACITY vs PLAN</t>
        </is>
      </c>
    </row>
    <row r="151">
      <c r="A151" s="22" t="inlineStr">
        <is>
          <t>Metric</t>
        </is>
      </c>
      <c r="B151" s="22" t="inlineStr"/>
      <c r="C151" s="22" t="inlineStr">
        <is>
          <t>Apr</t>
        </is>
      </c>
      <c r="D151" s="22" t="inlineStr">
        <is>
          <t>May</t>
        </is>
      </c>
      <c r="E151" s="22" t="inlineStr">
        <is>
          <t>Jun</t>
        </is>
      </c>
      <c r="F151" s="22" t="inlineStr">
        <is>
          <t>Jul</t>
        </is>
      </c>
      <c r="G151" s="22" t="inlineStr">
        <is>
          <t>Aug</t>
        </is>
      </c>
      <c r="H151" s="22" t="inlineStr">
        <is>
          <t>Sep</t>
        </is>
      </c>
      <c r="I151" s="22" t="inlineStr">
        <is>
          <t>Oct</t>
        </is>
      </c>
      <c r="J151" s="22" t="inlineStr">
        <is>
          <t>Nov</t>
        </is>
      </c>
      <c r="K151" s="22" t="inlineStr">
        <is>
          <t>Dec</t>
        </is>
      </c>
      <c r="L151" s="22" t="inlineStr">
        <is>
          <t>Total</t>
        </is>
      </c>
    </row>
    <row r="152">
      <c r="A152" s="23" t="inlineStr">
        <is>
          <t>Revenue plan</t>
        </is>
      </c>
      <c r="C152" s="30" t="inlineStr">
        <is>
          <t>€50k</t>
        </is>
      </c>
      <c r="D152" s="30" t="inlineStr">
        <is>
          <t>€85k</t>
        </is>
      </c>
      <c r="E152" s="30" t="inlineStr">
        <is>
          <t>€135k</t>
        </is>
      </c>
      <c r="F152" s="30" t="inlineStr">
        <is>
          <t>€250k</t>
        </is>
      </c>
      <c r="G152" s="30" t="inlineStr">
        <is>
          <t>€315k</t>
        </is>
      </c>
      <c r="H152" s="30" t="inlineStr">
        <is>
          <t>€445k</t>
        </is>
      </c>
      <c r="I152" s="30" t="inlineStr">
        <is>
          <t>€485k</t>
        </is>
      </c>
      <c r="J152" s="30" t="inlineStr">
        <is>
          <t>€575k</t>
        </is>
      </c>
      <c r="K152" s="30" t="inlineStr">
        <is>
          <t>€600k</t>
        </is>
      </c>
      <c r="L152" s="29" t="inlineStr">
        <is>
          <t>€2.94M</t>
        </is>
      </c>
    </row>
    <row r="153">
      <c r="A153" s="23" t="inlineStr">
        <is>
          <t>AE capacity</t>
        </is>
      </c>
      <c r="C153" s="38" t="inlineStr">
        <is>
          <t>€48k</t>
        </is>
      </c>
      <c r="D153" s="38" t="inlineStr">
        <is>
          <t>€80k</t>
        </is>
      </c>
      <c r="E153" s="38" t="inlineStr">
        <is>
          <t>€120k</t>
        </is>
      </c>
      <c r="F153" s="38" t="inlineStr">
        <is>
          <t>€220k</t>
        </is>
      </c>
      <c r="G153" s="38" t="inlineStr">
        <is>
          <t>€280k</t>
        </is>
      </c>
      <c r="H153" s="38" t="inlineStr">
        <is>
          <t>€400k</t>
        </is>
      </c>
      <c r="I153" s="38" t="inlineStr">
        <is>
          <t>€440k</t>
        </is>
      </c>
      <c r="J153" s="38" t="inlineStr">
        <is>
          <t>€520k</t>
        </is>
      </c>
      <c r="K153" s="38" t="inlineStr">
        <is>
          <t>€540k</t>
        </is>
      </c>
      <c r="L153" s="26" t="inlineStr">
        <is>
          <t>€2.65M</t>
        </is>
      </c>
    </row>
    <row r="154">
      <c r="A154" s="23" t="inlineStr">
        <is>
          <t>Monthly gap</t>
        </is>
      </c>
      <c r="C154" s="39" t="inlineStr">
        <is>
          <t>-€2k</t>
        </is>
      </c>
      <c r="D154" s="39" t="inlineStr">
        <is>
          <t>-€5k</t>
        </is>
      </c>
      <c r="E154" s="39" t="inlineStr">
        <is>
          <t>-€15k</t>
        </is>
      </c>
      <c r="F154" s="39" t="inlineStr">
        <is>
          <t>-€30k</t>
        </is>
      </c>
      <c r="G154" s="39" t="inlineStr">
        <is>
          <t>-€35k</t>
        </is>
      </c>
      <c r="H154" s="39" t="inlineStr">
        <is>
          <t>-€45k</t>
        </is>
      </c>
      <c r="I154" s="39" t="inlineStr">
        <is>
          <t>-€45k</t>
        </is>
      </c>
      <c r="J154" s="39" t="inlineStr">
        <is>
          <t>-€55k</t>
        </is>
      </c>
      <c r="K154" s="39" t="inlineStr">
        <is>
          <t>-€60k</t>
        </is>
      </c>
      <c r="L154" s="40" t="inlineStr">
        <is>
          <t>-€292k</t>
        </is>
      </c>
    </row>
  </sheetData>
  <mergeCells count="9">
    <mergeCell ref="A114:K114"/>
    <mergeCell ref="A15:K15"/>
    <mergeCell ref="A64:K64"/>
    <mergeCell ref="A65:K65"/>
    <mergeCell ref="A112:K112"/>
    <mergeCell ref="A113:K113"/>
    <mergeCell ref="A16:K16"/>
    <mergeCell ref="A63:K63"/>
    <mergeCell ref="A14:K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2026-04-03T06:32:30Z</dcterms:created>
  <dcterms:modified xmlns:dcterms="http://purl.org/dc/terms/" xmlns:xsi="http://www.w3.org/2001/XMLSchema-instance" xsi:type="dcterms:W3CDTF">2026-04-11T08:38:43Z</dcterms:modified>
</cp:coreProperties>
</file>
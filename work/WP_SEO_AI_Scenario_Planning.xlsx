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L" sheetId="1" state="visible" r:id="rId1"/>
    <sheet xmlns:r="http://schemas.openxmlformats.org/officeDocument/2006/relationships" name="DE" sheetId="2" state="visible" r:id="rId2"/>
    <sheet xmlns:r="http://schemas.openxmlformats.org/officeDocument/2006/relationships" name="M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b val="1"/>
      <color rgb="002F5496"/>
      <sz val="16"/>
    </font>
    <font>
      <b val="1"/>
      <color rgb="002F5496"/>
      <sz val="13"/>
    </font>
    <font>
      <sz val="9"/>
    </font>
    <font>
      <b val="1"/>
      <color rgb="00FF0000"/>
    </font>
    <font>
      <b val="1"/>
      <color rgb="00FFFFFF"/>
      <sz val="11"/>
    </font>
    <font>
      <b val="1"/>
      <sz val="10"/>
    </font>
    <font>
      <b val="1"/>
      <color rgb="002F5496"/>
      <sz val="14"/>
    </font>
    <font>
      <name val="Calibri"/>
      <b val="1"/>
      <color rgb="000B1F3B"/>
      <sz val="14"/>
    </font>
    <font>
      <name val="Calibri"/>
      <b val="1"/>
      <color rgb="00B748FF"/>
      <sz val="12"/>
    </font>
    <font>
      <name val="Calibri"/>
      <color rgb="0016151A"/>
      <sz val="10"/>
    </font>
    <font>
      <name val="Calibri"/>
      <i val="1"/>
      <color rgb="00615567"/>
      <sz val="10"/>
    </font>
    <font>
      <name val="Calibri"/>
      <b val="1"/>
      <color rgb="000B1F3B"/>
      <sz val="11"/>
    </font>
    <font>
      <name val="Calibri"/>
      <b val="1"/>
      <color rgb="00FFFFFF"/>
      <sz val="10"/>
    </font>
    <font>
      <name val="Calibri"/>
      <b val="1"/>
      <color rgb="00615567"/>
      <sz val="10"/>
    </font>
    <font>
      <name val="Calibri"/>
      <b val="1"/>
      <color rgb="0016151A"/>
      <sz val="10"/>
    </font>
    <font>
      <name val="Calibri"/>
      <color rgb="00615567"/>
      <sz val="9"/>
    </font>
    <font>
      <name val="Calibri"/>
      <b val="1"/>
      <color rgb="00E5484D"/>
      <sz val="10"/>
    </font>
    <font>
      <name val="Calibri"/>
      <b val="1"/>
      <color rgb="002CB67D"/>
      <sz val="10"/>
    </font>
    <font>
      <name val="Calibri"/>
      <color rgb="002CB67D"/>
      <sz val="9"/>
    </font>
    <font>
      <name val="Calibri"/>
      <b val="1"/>
      <color rgb="00B748FF"/>
      <sz val="10"/>
    </font>
    <font>
      <name val="Calibri"/>
      <b val="1"/>
      <color rgb="00F5A623"/>
      <sz val="10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0B1F3B"/>
        <bgColor rgb="000B1F3B"/>
      </patternFill>
    </fill>
    <fill>
      <patternFill patternType="solid">
        <fgColor rgb="00FFF8E0"/>
        <bgColor rgb="00FFF8E0"/>
      </patternFill>
    </fill>
    <fill>
      <patternFill patternType="solid">
        <fgColor rgb="00E6F7EF"/>
        <bgColor rgb="00E6F7EF"/>
      </patternFill>
    </fill>
    <fill>
      <patternFill patternType="solid">
        <fgColor rgb="00F0EBFF"/>
        <bgColor rgb="00F0EBFF"/>
      </patternFill>
    </fill>
    <fill>
      <patternFill patternType="solid">
        <fgColor rgb="00FFF3E0"/>
        <bgColor rgb="00FFF3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E0DFE6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wrapText="1"/>
    </xf>
    <xf numFmtId="0" fontId="6" fillId="0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4" fontId="0" fillId="4" borderId="1" pivotButton="0" quotePrefix="0" xfId="0"/>
    <xf numFmtId="4" fontId="0" fillId="0" borderId="1" pivotButton="0" quotePrefix="0" xfId="0"/>
    <xf numFmtId="3" fontId="0" fillId="4" borderId="1" pivotButton="0" quotePrefix="0" xfId="0"/>
    <xf numFmtId="0" fontId="7" fillId="6" borderId="0" pivotButton="0" quotePrefix="0" xfId="0"/>
    <xf numFmtId="0" fontId="0" fillId="6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applyAlignment="1" pivotButton="0" quotePrefix="0" xfId="0">
      <alignment wrapText="1"/>
    </xf>
    <xf numFmtId="0" fontId="13" fillId="7" borderId="0" applyAlignment="1" pivotButton="0" quotePrefix="0" xfId="0">
      <alignment horizontal="center"/>
    </xf>
    <xf numFmtId="0" fontId="14" fillId="0" borderId="0" pivotButton="0" quotePrefix="0" xfId="0"/>
    <xf numFmtId="0" fontId="16" fillId="0" borderId="0" pivotButton="0" quotePrefix="0" xfId="0"/>
    <xf numFmtId="0" fontId="10" fillId="8" borderId="2" applyAlignment="1" pivotButton="0" quotePrefix="0" xfId="0">
      <alignment horizontal="center"/>
    </xf>
    <xf numFmtId="0" fontId="15" fillId="9" borderId="0" applyAlignment="1" pivotButton="0" quotePrefix="0" xfId="0">
      <alignment horizontal="center"/>
    </xf>
    <xf numFmtId="0" fontId="15" fillId="9" borderId="2" applyAlignment="1" pivotButton="0" quotePrefix="0" xfId="0">
      <alignment horizontal="center"/>
    </xf>
    <xf numFmtId="0" fontId="10" fillId="9" borderId="2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0" fontId="17" fillId="9" borderId="2" applyAlignment="1" pivotButton="0" quotePrefix="0" xfId="0">
      <alignment horizontal="center"/>
    </xf>
    <xf numFmtId="0" fontId="17" fillId="9" borderId="0" applyAlignment="1" pivotButton="0" quotePrefix="0" xfId="0">
      <alignment horizontal="center"/>
    </xf>
    <xf numFmtId="0" fontId="19" fillId="0" borderId="0" pivotButton="0" quotePrefix="0" xfId="0"/>
    <xf numFmtId="0" fontId="18" fillId="0" borderId="2" applyAlignment="1" pivotButton="0" quotePrefix="0" xfId="0">
      <alignment horizontal="center"/>
    </xf>
    <xf numFmtId="0" fontId="20" fillId="10" borderId="2" applyAlignment="1" pivotButton="0" quotePrefix="0" xfId="0">
      <alignment horizontal="center"/>
    </xf>
    <xf numFmtId="0" fontId="20" fillId="10" borderId="0" applyAlignment="1" pivotButton="0" quotePrefix="0" xfId="0">
      <alignment horizontal="center"/>
    </xf>
    <xf numFmtId="0" fontId="15" fillId="0" borderId="0" pivotButton="0" quotePrefix="0" xfId="0"/>
    <xf numFmtId="0" fontId="18" fillId="9" borderId="2" applyAlignment="1" pivotButton="0" quotePrefix="0" xfId="0">
      <alignment horizontal="center"/>
    </xf>
    <xf numFmtId="0" fontId="17" fillId="0" borderId="2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9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21" fillId="11" borderId="2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20" fillId="9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NL — Scenario Planning</t>
        </is>
      </c>
    </row>
    <row r="3">
      <c r="A3" s="2" t="inlineStr">
        <is>
          <t>LEGENDA — Hoe deze sheet te lezen</t>
        </is>
      </c>
    </row>
    <row r="4">
      <c r="A4" s="3" t="inlineStr">
        <is>
          <t>Gele cellen = invoer (aanpasbaar).</t>
        </is>
      </c>
    </row>
    <row r="5">
      <c r="A5" s="3" t="inlineStr">
        <is>
          <t>Groene cellen = formules (cumulatief, totalen) — niet handmatig wijzigen.</t>
        </is>
      </c>
    </row>
    <row r="6">
      <c r="A6" s="3" t="inlineStr">
        <is>
          <t>ARR Budget = basis target (Koen). ARR Stretch = ambitieus target (tussen haakjes).</t>
        </is>
      </c>
    </row>
    <row r="7">
      <c r="A7" s="3" t="inlineStr">
        <is>
          <t>Ramp NL: 15K (maand 1) → 30K (maand 2) → 50K (maand 3+) per AE.</t>
        </is>
      </c>
    </row>
    <row r="8">
      <c r="A8" s="3" t="inlineStr">
        <is>
          <t>Bedragen in miljoenen EUR.</t>
        </is>
      </c>
    </row>
    <row r="10">
      <c r="A10" s="2" t="inlineStr">
        <is>
          <t>HIRING PLAN</t>
        </is>
      </c>
    </row>
    <row r="11">
      <c r="A11" s="5" t="inlineStr">
        <is>
          <t>NL sales hiring stopt na september</t>
        </is>
      </c>
    </row>
    <row r="12">
      <c r="A12" s="6" t="inlineStr">
        <is>
          <t>Rol</t>
        </is>
      </c>
      <c r="B12" s="6" t="inlineStr">
        <is>
          <t>Type</t>
        </is>
      </c>
      <c r="C12" s="6" t="inlineStr">
        <is>
          <t>April</t>
        </is>
      </c>
      <c r="D12" s="6" t="inlineStr">
        <is>
          <t>May</t>
        </is>
      </c>
      <c r="E12" s="6" t="inlineStr">
        <is>
          <t>June</t>
        </is>
      </c>
      <c r="F12" s="6" t="inlineStr">
        <is>
          <t>July</t>
        </is>
      </c>
      <c r="G12" s="6" t="inlineStr">
        <is>
          <t>August</t>
        </is>
      </c>
      <c r="H12" s="6" t="inlineStr">
        <is>
          <t>September</t>
        </is>
      </c>
      <c r="I12" s="6" t="inlineStr">
        <is>
          <t>October</t>
        </is>
      </c>
      <c r="J12" s="6" t="inlineStr">
        <is>
          <t>November</t>
        </is>
      </c>
      <c r="K12" s="6" t="inlineStr">
        <is>
          <t>December</t>
        </is>
      </c>
      <c r="L12" s="6" t="inlineStr">
        <is>
          <t>Totaal</t>
        </is>
      </c>
    </row>
    <row r="13">
      <c r="A13" s="7" t="inlineStr">
        <is>
          <t>BDR</t>
        </is>
      </c>
      <c r="B13" s="8" t="inlineStr">
        <is>
          <t>New Hires</t>
        </is>
      </c>
      <c r="C13" s="9" t="n">
        <v>0</v>
      </c>
      <c r="D13" s="9" t="n">
        <v>3</v>
      </c>
      <c r="E13" s="9" t="n">
        <v>6</v>
      </c>
      <c r="F13" s="9" t="n">
        <v>8</v>
      </c>
      <c r="G13" s="9" t="n">
        <v>8</v>
      </c>
      <c r="H13" s="9" t="n">
        <v>8</v>
      </c>
      <c r="I13" s="9" t="n">
        <v>0</v>
      </c>
      <c r="J13" s="9" t="n">
        <v>0</v>
      </c>
      <c r="K13" s="9" t="n">
        <v>0</v>
      </c>
      <c r="L13" s="10">
        <f>SUM(C13:K13)</f>
        <v/>
      </c>
    </row>
    <row r="14">
      <c r="A14" s="8" t="n"/>
      <c r="B14" s="8" t="inlineStr">
        <is>
          <t>Cumulatief</t>
        </is>
      </c>
      <c r="C14" s="10">
        <f>C13</f>
        <v/>
      </c>
      <c r="D14" s="10">
        <f>C14+D13</f>
        <v/>
      </c>
      <c r="E14" s="10">
        <f>D14+E13</f>
        <v/>
      </c>
      <c r="F14" s="10">
        <f>E14+F13</f>
        <v/>
      </c>
      <c r="G14" s="10">
        <f>F14+G13</f>
        <v/>
      </c>
      <c r="H14" s="10">
        <f>G14+H13</f>
        <v/>
      </c>
      <c r="I14" s="10">
        <f>H14+I13</f>
        <v/>
      </c>
      <c r="J14" s="10">
        <f>I14+J13</f>
        <v/>
      </c>
      <c r="K14" s="10">
        <f>J14+K13</f>
        <v/>
      </c>
      <c r="L14" s="8" t="n"/>
    </row>
    <row r="15">
      <c r="A15" s="7" t="inlineStr">
        <is>
          <t>AE</t>
        </is>
      </c>
      <c r="B15" s="8" t="inlineStr">
        <is>
          <t>New Hires</t>
        </is>
      </c>
      <c r="C15" s="9" t="n">
        <v>0</v>
      </c>
      <c r="D15" s="9" t="n">
        <v>3</v>
      </c>
      <c r="E15" s="9" t="n">
        <v>8</v>
      </c>
      <c r="F15" s="9" t="n">
        <v>8</v>
      </c>
      <c r="G15" s="9" t="n">
        <v>8</v>
      </c>
      <c r="H15" s="9" t="n">
        <v>8</v>
      </c>
      <c r="I15" s="9" t="n">
        <v>0</v>
      </c>
      <c r="J15" s="9" t="n">
        <v>0</v>
      </c>
      <c r="K15" s="9" t="n">
        <v>0</v>
      </c>
      <c r="L15" s="10">
        <f>SUM(C15:K15)</f>
        <v/>
      </c>
    </row>
    <row r="16">
      <c r="A16" s="8" t="n"/>
      <c r="B16" s="8" t="inlineStr">
        <is>
          <t>Cumulatief</t>
        </is>
      </c>
      <c r="C16" s="10">
        <f>C15</f>
        <v/>
      </c>
      <c r="D16" s="10">
        <f>C16+D15</f>
        <v/>
      </c>
      <c r="E16" s="10">
        <f>D16+E15</f>
        <v/>
      </c>
      <c r="F16" s="10">
        <f>E16+F15</f>
        <v/>
      </c>
      <c r="G16" s="10">
        <f>F16+G15</f>
        <v/>
      </c>
      <c r="H16" s="10">
        <f>G16+H15</f>
        <v/>
      </c>
      <c r="I16" s="10">
        <f>H16+I15</f>
        <v/>
      </c>
      <c r="J16" s="10">
        <f>I16+J15</f>
        <v/>
      </c>
      <c r="K16" s="10">
        <f>J16+K15</f>
        <v/>
      </c>
      <c r="L16" s="8" t="n"/>
    </row>
    <row r="17">
      <c r="A17" s="7" t="inlineStr">
        <is>
          <t>Totaal</t>
        </is>
      </c>
      <c r="B17" s="8" t="inlineStr">
        <is>
          <t>New Hires</t>
        </is>
      </c>
      <c r="C17" s="10">
        <f>C13+C15</f>
        <v/>
      </c>
      <c r="D17" s="10">
        <f>D13+D15</f>
        <v/>
      </c>
      <c r="E17" s="10">
        <f>E13+E15</f>
        <v/>
      </c>
      <c r="F17" s="10">
        <f>F13+F15</f>
        <v/>
      </c>
      <c r="G17" s="10">
        <f>G13+G15</f>
        <v/>
      </c>
      <c r="H17" s="10">
        <f>H13+H15</f>
        <v/>
      </c>
      <c r="I17" s="10">
        <f>I13+I15</f>
        <v/>
      </c>
      <c r="J17" s="10">
        <f>J13+J15</f>
        <v/>
      </c>
      <c r="K17" s="10">
        <f>K13+K15</f>
        <v/>
      </c>
      <c r="L17" s="10">
        <f>SUM(C17:K17)</f>
        <v/>
      </c>
    </row>
    <row r="18">
      <c r="A18" s="8" t="n"/>
      <c r="B18" s="8" t="inlineStr">
        <is>
          <t>Cumulatief</t>
        </is>
      </c>
      <c r="C18" s="10">
        <f>C17</f>
        <v/>
      </c>
      <c r="D18" s="10">
        <f>C18+D17</f>
        <v/>
      </c>
      <c r="E18" s="10">
        <f>D18+E17</f>
        <v/>
      </c>
      <c r="F18" s="10">
        <f>E18+F17</f>
        <v/>
      </c>
      <c r="G18" s="10">
        <f>F18+G17</f>
        <v/>
      </c>
      <c r="H18" s="10">
        <f>G18+H17</f>
        <v/>
      </c>
      <c r="I18" s="10">
        <f>H18+I17</f>
        <v/>
      </c>
      <c r="J18" s="10">
        <f>I18+J17</f>
        <v/>
      </c>
      <c r="K18" s="10">
        <f>J18+K17</f>
        <v/>
      </c>
      <c r="L18" s="8" t="n"/>
    </row>
    <row r="20">
      <c r="A20" s="2" t="inlineStr">
        <is>
          <t>ARR TARGETS (M EUR)</t>
        </is>
      </c>
    </row>
    <row r="21">
      <c r="A21" s="6" t="inlineStr">
        <is>
          <t>Metric</t>
        </is>
      </c>
      <c r="B21" s="6" t="n"/>
      <c r="C21" s="6" t="inlineStr">
        <is>
          <t>April</t>
        </is>
      </c>
      <c r="D21" s="6" t="inlineStr">
        <is>
          <t>May</t>
        </is>
      </c>
      <c r="E21" s="6" t="inlineStr">
        <is>
          <t>June</t>
        </is>
      </c>
      <c r="F21" s="6" t="inlineStr">
        <is>
          <t>July</t>
        </is>
      </c>
      <c r="G21" s="6" t="inlineStr">
        <is>
          <t>August</t>
        </is>
      </c>
      <c r="H21" s="6" t="inlineStr">
        <is>
          <t>September</t>
        </is>
      </c>
      <c r="I21" s="6" t="inlineStr">
        <is>
          <t>October</t>
        </is>
      </c>
      <c r="J21" s="6" t="inlineStr">
        <is>
          <t>November</t>
        </is>
      </c>
      <c r="K21" s="6" t="inlineStr">
        <is>
          <t>December</t>
        </is>
      </c>
      <c r="L21" s="6" t="inlineStr">
        <is>
          <t>Totaal</t>
        </is>
      </c>
    </row>
    <row r="22">
      <c r="A22" s="7" t="inlineStr">
        <is>
          <t>ARR Budget</t>
        </is>
      </c>
      <c r="B22" s="8" t="n"/>
      <c r="C22" s="11" t="n">
        <v>1</v>
      </c>
      <c r="D22" s="11" t="n">
        <v>1</v>
      </c>
      <c r="E22" s="11" t="n">
        <v>1</v>
      </c>
      <c r="F22" s="11" t="n">
        <v>1.1</v>
      </c>
      <c r="G22" s="11" t="n">
        <v>0.9</v>
      </c>
      <c r="H22" s="11" t="n">
        <v>1.45</v>
      </c>
      <c r="I22" s="11" t="n">
        <v>1.5</v>
      </c>
      <c r="J22" s="11" t="n">
        <v>1.5</v>
      </c>
      <c r="K22" s="11" t="n">
        <v>1.45</v>
      </c>
      <c r="L22" s="12">
        <f>SUM(C22:K22)</f>
        <v/>
      </c>
    </row>
    <row r="23">
      <c r="A23" s="7" t="inlineStr">
        <is>
          <t>ARR Stretch</t>
        </is>
      </c>
      <c r="B23" s="8" t="n"/>
      <c r="C23" s="9" t="n"/>
      <c r="D23" s="11" t="n">
        <v>1.1</v>
      </c>
      <c r="E23" s="11" t="n">
        <v>1.1</v>
      </c>
      <c r="F23" s="11" t="n">
        <v>1.3</v>
      </c>
      <c r="G23" s="11" t="n">
        <v>1.3</v>
      </c>
      <c r="H23" s="11" t="n">
        <v>1.7</v>
      </c>
      <c r="I23" s="11" t="n">
        <v>1.7</v>
      </c>
      <c r="J23" s="11" t="n">
        <v>1.7</v>
      </c>
      <c r="K23" s="11" t="n">
        <v>1.7</v>
      </c>
      <c r="L23" s="12">
        <f>SUM(C23:K23)</f>
        <v/>
      </c>
    </row>
    <row r="24">
      <c r="A24" s="7" t="inlineStr">
        <is>
          <t>SQLs</t>
        </is>
      </c>
      <c r="B24" s="8" t="n"/>
      <c r="C24" s="13" t="n">
        <v>900</v>
      </c>
      <c r="D24" s="13" t="n">
        <v>1050</v>
      </c>
      <c r="E24" s="13" t="n">
        <v>1200</v>
      </c>
      <c r="F24" s="9" t="n"/>
      <c r="G24" s="9" t="n"/>
      <c r="H24" s="9" t="n"/>
      <c r="I24" s="9" t="n"/>
      <c r="J24" s="9" t="n"/>
      <c r="K24" s="9" t="n"/>
      <c r="L24" s="8" t="n"/>
    </row>
  </sheetData>
  <mergeCells count="6">
    <mergeCell ref="A7:L7"/>
    <mergeCell ref="A1:L1"/>
    <mergeCell ref="A5:L5"/>
    <mergeCell ref="A8:L8"/>
    <mergeCell ref="A6:L6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DE — Scenario Planning (3 scenario's)</t>
        </is>
      </c>
    </row>
    <row r="3">
      <c r="A3" s="2" t="inlineStr">
        <is>
          <t>LEGENDA — Hoe deze sheet te lezen</t>
        </is>
      </c>
    </row>
    <row r="4">
      <c r="A4" s="3" t="inlineStr">
        <is>
          <t>Gele cellen = invoer (aanpasbaar).</t>
        </is>
      </c>
    </row>
    <row r="5">
      <c r="A5" s="3" t="inlineStr">
        <is>
          <t>Groene cellen = formules (cumulatief, totalen) — niet handmatig wijzigen.</t>
        </is>
      </c>
    </row>
    <row r="6">
      <c r="A6" s="3" t="inlineStr">
        <is>
          <t>3 scenario's: S1 Baseline, S2 Hyper Growth, S3 Growth.</t>
        </is>
      </c>
    </row>
    <row r="7">
      <c r="A7" s="3" t="inlineStr">
        <is>
          <t>ARR Budget = basis target. ARR Stretch = ambitieus target (tussen haakjes).</t>
        </is>
      </c>
    </row>
    <row r="8">
      <c r="A8" s="3" t="inlineStr">
        <is>
          <t>Ramp DE: 10K (maand 1) → 20K (maand 2) → 30K (maand 3+) per AE.</t>
        </is>
      </c>
    </row>
    <row r="9">
      <c r="A9" s="3" t="inlineStr">
        <is>
          <t>Bedragen in miljoenen EUR.</t>
        </is>
      </c>
    </row>
    <row r="10">
      <c r="A10" s="3" t="inlineStr">
        <is>
          <t>Challenges (Koen): 1) Data-infrastructuur  2) Voldoende managers.</t>
        </is>
      </c>
    </row>
    <row r="12">
      <c r="A12" s="14" t="inlineStr">
        <is>
          <t>SCENARIO 1: BASELINE</t>
        </is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4">
      <c r="A14" s="2" t="inlineStr">
        <is>
          <t>Hiring Plan</t>
        </is>
      </c>
    </row>
    <row r="15">
      <c r="A15" s="6" t="inlineStr">
        <is>
          <t>Rol</t>
        </is>
      </c>
      <c r="B15" s="6" t="inlineStr">
        <is>
          <t>Type</t>
        </is>
      </c>
      <c r="C15" s="6" t="inlineStr">
        <is>
          <t>April</t>
        </is>
      </c>
      <c r="D15" s="6" t="inlineStr">
        <is>
          <t>May</t>
        </is>
      </c>
      <c r="E15" s="6" t="inlineStr">
        <is>
          <t>June</t>
        </is>
      </c>
      <c r="F15" s="6" t="inlineStr">
        <is>
          <t>July</t>
        </is>
      </c>
      <c r="G15" s="6" t="inlineStr">
        <is>
          <t>August</t>
        </is>
      </c>
      <c r="H15" s="6" t="inlineStr">
        <is>
          <t>September</t>
        </is>
      </c>
      <c r="I15" s="6" t="inlineStr">
        <is>
          <t>October</t>
        </is>
      </c>
      <c r="J15" s="6" t="inlineStr">
        <is>
          <t>November</t>
        </is>
      </c>
      <c r="K15" s="6" t="inlineStr">
        <is>
          <t>December</t>
        </is>
      </c>
      <c r="L15" s="6" t="inlineStr">
        <is>
          <t>Totaal</t>
        </is>
      </c>
    </row>
    <row r="16">
      <c r="A16" s="7" t="inlineStr">
        <is>
          <t>BDR</t>
        </is>
      </c>
      <c r="B16" s="8" t="inlineStr">
        <is>
          <t>New Hires</t>
        </is>
      </c>
      <c r="C16" s="9" t="n">
        <v>4</v>
      </c>
      <c r="D16" s="9" t="n">
        <v>3</v>
      </c>
      <c r="E16" s="9" t="n">
        <v>4</v>
      </c>
      <c r="F16" s="9" t="n">
        <v>4</v>
      </c>
      <c r="G16" s="9" t="n">
        <v>4</v>
      </c>
      <c r="H16" s="9" t="n">
        <v>4</v>
      </c>
      <c r="I16" s="9" t="n">
        <v>4</v>
      </c>
      <c r="J16" s="9" t="n">
        <v>4</v>
      </c>
      <c r="K16" s="9" t="n">
        <v>4</v>
      </c>
      <c r="L16" s="10">
        <f>SUM(C16:K16)</f>
        <v/>
      </c>
    </row>
    <row r="17">
      <c r="A17" s="8" t="n"/>
      <c r="B17" s="8" t="inlineStr">
        <is>
          <t>Cumulatief</t>
        </is>
      </c>
      <c r="C17" s="10">
        <f>C16</f>
        <v/>
      </c>
      <c r="D17" s="10">
        <f>C17+D16</f>
        <v/>
      </c>
      <c r="E17" s="10">
        <f>D17+E16</f>
        <v/>
      </c>
      <c r="F17" s="10">
        <f>E17+F16</f>
        <v/>
      </c>
      <c r="G17" s="10">
        <f>F17+G16</f>
        <v/>
      </c>
      <c r="H17" s="10">
        <f>G17+H16</f>
        <v/>
      </c>
      <c r="I17" s="10">
        <f>H17+I16</f>
        <v/>
      </c>
      <c r="J17" s="10">
        <f>I17+J16</f>
        <v/>
      </c>
      <c r="K17" s="10">
        <f>J17+K16</f>
        <v/>
      </c>
      <c r="L17" s="8" t="n"/>
    </row>
    <row r="18">
      <c r="A18" s="7" t="inlineStr">
        <is>
          <t>AE</t>
        </is>
      </c>
      <c r="B18" s="8" t="inlineStr">
        <is>
          <t>New Hires</t>
        </is>
      </c>
      <c r="C18" s="9" t="n">
        <v>2</v>
      </c>
      <c r="D18" s="9" t="n">
        <v>3</v>
      </c>
      <c r="E18" s="9" t="n">
        <v>4</v>
      </c>
      <c r="F18" s="9" t="n">
        <v>4</v>
      </c>
      <c r="G18" s="9" t="n">
        <v>4</v>
      </c>
      <c r="H18" s="9" t="n">
        <v>4</v>
      </c>
      <c r="I18" s="9" t="n">
        <v>4</v>
      </c>
      <c r="J18" s="9" t="n">
        <v>4</v>
      </c>
      <c r="K18" s="9" t="n">
        <v>4</v>
      </c>
      <c r="L18" s="10">
        <f>SUM(C18:K18)</f>
        <v/>
      </c>
    </row>
    <row r="19">
      <c r="A19" s="8" t="n"/>
      <c r="B19" s="8" t="inlineStr">
        <is>
          <t>Cumulatief</t>
        </is>
      </c>
      <c r="C19" s="10">
        <f>C18</f>
        <v/>
      </c>
      <c r="D19" s="10">
        <f>C19+D18</f>
        <v/>
      </c>
      <c r="E19" s="10">
        <f>D19+E18</f>
        <v/>
      </c>
      <c r="F19" s="10">
        <f>E19+F18</f>
        <v/>
      </c>
      <c r="G19" s="10">
        <f>F19+G18</f>
        <v/>
      </c>
      <c r="H19" s="10">
        <f>G19+H18</f>
        <v/>
      </c>
      <c r="I19" s="10">
        <f>H19+I18</f>
        <v/>
      </c>
      <c r="J19" s="10">
        <f>I19+J18</f>
        <v/>
      </c>
      <c r="K19" s="10">
        <f>J19+K18</f>
        <v/>
      </c>
      <c r="L19" s="8" t="n"/>
    </row>
    <row r="20">
      <c r="A20" s="7" t="inlineStr">
        <is>
          <t>Totaal</t>
        </is>
      </c>
      <c r="B20" s="8" t="inlineStr">
        <is>
          <t>New Hires</t>
        </is>
      </c>
      <c r="C20" s="10">
        <f>C16+C18</f>
        <v/>
      </c>
      <c r="D20" s="10">
        <f>D16+D18</f>
        <v/>
      </c>
      <c r="E20" s="10">
        <f>E16+E18</f>
        <v/>
      </c>
      <c r="F20" s="10">
        <f>F16+F18</f>
        <v/>
      </c>
      <c r="G20" s="10">
        <f>G16+G18</f>
        <v/>
      </c>
      <c r="H20" s="10">
        <f>H16+H18</f>
        <v/>
      </c>
      <c r="I20" s="10">
        <f>I16+I18</f>
        <v/>
      </c>
      <c r="J20" s="10">
        <f>J16+J18</f>
        <v/>
      </c>
      <c r="K20" s="10">
        <f>K16+K18</f>
        <v/>
      </c>
      <c r="L20" s="10">
        <f>SUM(C20:K20)</f>
        <v/>
      </c>
    </row>
    <row r="21">
      <c r="A21" s="8" t="n"/>
      <c r="B21" s="8" t="inlineStr">
        <is>
          <t>Cumulatief</t>
        </is>
      </c>
      <c r="C21" s="10">
        <f>C20</f>
        <v/>
      </c>
      <c r="D21" s="10">
        <f>C21+D20</f>
        <v/>
      </c>
      <c r="E21" s="10">
        <f>D21+E20</f>
        <v/>
      </c>
      <c r="F21" s="10">
        <f>E21+F20</f>
        <v/>
      </c>
      <c r="G21" s="10">
        <f>F21+G20</f>
        <v/>
      </c>
      <c r="H21" s="10">
        <f>G21+H20</f>
        <v/>
      </c>
      <c r="I21" s="10">
        <f>H21+I20</f>
        <v/>
      </c>
      <c r="J21" s="10">
        <f>I21+J20</f>
        <v/>
      </c>
      <c r="K21" s="10">
        <f>J21+K20</f>
        <v/>
      </c>
      <c r="L21" s="8" t="n"/>
    </row>
    <row r="23">
      <c r="A23" s="2" t="inlineStr">
        <is>
          <t>ARR Targets (M EUR)</t>
        </is>
      </c>
    </row>
    <row r="24">
      <c r="A24" s="6" t="inlineStr">
        <is>
          <t>Metric</t>
        </is>
      </c>
      <c r="B24" s="6" t="n"/>
      <c r="C24" s="6" t="inlineStr">
        <is>
          <t>April</t>
        </is>
      </c>
      <c r="D24" s="6" t="inlineStr">
        <is>
          <t>May</t>
        </is>
      </c>
      <c r="E24" s="6" t="inlineStr">
        <is>
          <t>June</t>
        </is>
      </c>
      <c r="F24" s="6" t="inlineStr">
        <is>
          <t>July</t>
        </is>
      </c>
      <c r="G24" s="6" t="inlineStr">
        <is>
          <t>August</t>
        </is>
      </c>
      <c r="H24" s="6" t="inlineStr">
        <is>
          <t>September</t>
        </is>
      </c>
      <c r="I24" s="6" t="inlineStr">
        <is>
          <t>October</t>
        </is>
      </c>
      <c r="J24" s="6" t="inlineStr">
        <is>
          <t>November</t>
        </is>
      </c>
      <c r="K24" s="6" t="inlineStr">
        <is>
          <t>December</t>
        </is>
      </c>
      <c r="L24" s="6" t="inlineStr">
        <is>
          <t>Totaal</t>
        </is>
      </c>
    </row>
    <row r="25">
      <c r="A25" s="7" t="inlineStr">
        <is>
          <t>ARR Budget</t>
        </is>
      </c>
      <c r="B25" s="8" t="n"/>
      <c r="C25" s="11" t="n">
        <v>0.21</v>
      </c>
      <c r="D25" s="11" t="n">
        <v>0.24</v>
      </c>
      <c r="E25" s="11" t="n">
        <v>0.27</v>
      </c>
      <c r="F25" s="11" t="n">
        <v>0.31</v>
      </c>
      <c r="G25" s="11" t="n">
        <v>0.28</v>
      </c>
      <c r="H25" s="11" t="n">
        <v>0.47</v>
      </c>
      <c r="I25" s="11" t="n">
        <v>0.52</v>
      </c>
      <c r="J25" s="11" t="n">
        <v>0.55</v>
      </c>
      <c r="K25" s="11" t="n">
        <v>0.55</v>
      </c>
      <c r="L25" s="12">
        <f>SUM(C25:K25)</f>
        <v/>
      </c>
    </row>
    <row r="26">
      <c r="A26" s="7" t="inlineStr">
        <is>
          <t>ARR Stretch</t>
        </is>
      </c>
      <c r="B26" s="8" t="n"/>
      <c r="C26" s="11" t="n">
        <v>0.26</v>
      </c>
      <c r="D26" s="11" t="n">
        <v>0.4</v>
      </c>
      <c r="E26" s="11" t="n">
        <v>0.4</v>
      </c>
      <c r="F26" s="11" t="n">
        <v>0.5</v>
      </c>
      <c r="G26" s="11" t="n">
        <v>0.6</v>
      </c>
      <c r="H26" s="11" t="n">
        <v>0.65</v>
      </c>
      <c r="I26" s="11" t="n">
        <v>0.75</v>
      </c>
      <c r="J26" s="11" t="n">
        <v>0.85</v>
      </c>
      <c r="K26" s="11" t="n">
        <v>1</v>
      </c>
      <c r="L26" s="12">
        <f>SUM(C26:K26)</f>
        <v/>
      </c>
    </row>
    <row r="27">
      <c r="A27" s="7" t="inlineStr">
        <is>
          <t>SQLs</t>
        </is>
      </c>
      <c r="B27" s="8" t="n"/>
      <c r="C27" s="13" t="n">
        <v>370</v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8" t="n"/>
    </row>
    <row r="28">
      <c r="A28" s="7" t="inlineStr">
        <is>
          <t>Mango Leads</t>
        </is>
      </c>
      <c r="B28" s="8" t="n"/>
      <c r="C28" s="13" t="n">
        <v>100</v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8" t="n"/>
    </row>
    <row r="31">
      <c r="A31" s="14" t="inlineStr">
        <is>
          <t>SCENARIO 2: HYPER GROWTH</t>
        </is>
      </c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3">
      <c r="A33" s="2" t="inlineStr">
        <is>
          <t>Hiring Plan</t>
        </is>
      </c>
    </row>
    <row r="34">
      <c r="A34" s="6" t="inlineStr">
        <is>
          <t>Rol</t>
        </is>
      </c>
      <c r="B34" s="6" t="inlineStr">
        <is>
          <t>Type</t>
        </is>
      </c>
      <c r="C34" s="6" t="inlineStr">
        <is>
          <t>April</t>
        </is>
      </c>
      <c r="D34" s="6" t="inlineStr">
        <is>
          <t>May</t>
        </is>
      </c>
      <c r="E34" s="6" t="inlineStr">
        <is>
          <t>June</t>
        </is>
      </c>
      <c r="F34" s="6" t="inlineStr">
        <is>
          <t>July</t>
        </is>
      </c>
      <c r="G34" s="6" t="inlineStr">
        <is>
          <t>August</t>
        </is>
      </c>
      <c r="H34" s="6" t="inlineStr">
        <is>
          <t>September</t>
        </is>
      </c>
      <c r="I34" s="6" t="inlineStr">
        <is>
          <t>October</t>
        </is>
      </c>
      <c r="J34" s="6" t="inlineStr">
        <is>
          <t>November</t>
        </is>
      </c>
      <c r="K34" s="6" t="inlineStr">
        <is>
          <t>December</t>
        </is>
      </c>
      <c r="L34" s="6" t="inlineStr">
        <is>
          <t>Totaal</t>
        </is>
      </c>
    </row>
    <row r="35">
      <c r="A35" s="7" t="inlineStr">
        <is>
          <t>BDR</t>
        </is>
      </c>
      <c r="B35" s="8" t="inlineStr">
        <is>
          <t>New Hires</t>
        </is>
      </c>
      <c r="C35" s="9" t="n">
        <v>4</v>
      </c>
      <c r="D35" s="9" t="n">
        <v>3</v>
      </c>
      <c r="E35" s="9" t="n">
        <v>6</v>
      </c>
      <c r="F35" s="9" t="n">
        <v>6</v>
      </c>
      <c r="G35" s="9" t="n">
        <v>8</v>
      </c>
      <c r="H35" s="9" t="n">
        <v>8</v>
      </c>
      <c r="I35" s="9" t="n">
        <v>8</v>
      </c>
      <c r="J35" s="9" t="n">
        <v>8</v>
      </c>
      <c r="K35" s="9" t="n">
        <v>8</v>
      </c>
      <c r="L35" s="10">
        <f>SUM(C35:K35)</f>
        <v/>
      </c>
    </row>
    <row r="36">
      <c r="A36" s="8" t="n"/>
      <c r="B36" s="8" t="inlineStr">
        <is>
          <t>Cumulatief</t>
        </is>
      </c>
      <c r="C36" s="10">
        <f>C35</f>
        <v/>
      </c>
      <c r="D36" s="10">
        <f>C36+D35</f>
        <v/>
      </c>
      <c r="E36" s="10">
        <f>D36+E35</f>
        <v/>
      </c>
      <c r="F36" s="10">
        <f>E36+F35</f>
        <v/>
      </c>
      <c r="G36" s="10">
        <f>F36+G35</f>
        <v/>
      </c>
      <c r="H36" s="10">
        <f>G36+H35</f>
        <v/>
      </c>
      <c r="I36" s="10">
        <f>H36+I35</f>
        <v/>
      </c>
      <c r="J36" s="10">
        <f>I36+J35</f>
        <v/>
      </c>
      <c r="K36" s="10">
        <f>J36+K35</f>
        <v/>
      </c>
      <c r="L36" s="8" t="n"/>
    </row>
    <row r="37">
      <c r="A37" s="7" t="inlineStr">
        <is>
          <t>AE</t>
        </is>
      </c>
      <c r="B37" s="8" t="inlineStr">
        <is>
          <t>New Hires</t>
        </is>
      </c>
      <c r="C37" s="9" t="n">
        <v>2</v>
      </c>
      <c r="D37" s="9" t="n">
        <v>3</v>
      </c>
      <c r="E37" s="9" t="n">
        <v>6</v>
      </c>
      <c r="F37" s="9" t="n">
        <v>6</v>
      </c>
      <c r="G37" s="9" t="n">
        <v>8</v>
      </c>
      <c r="H37" s="9" t="n">
        <v>8</v>
      </c>
      <c r="I37" s="9" t="n">
        <v>8</v>
      </c>
      <c r="J37" s="9" t="n">
        <v>8</v>
      </c>
      <c r="K37" s="9" t="n">
        <v>8</v>
      </c>
      <c r="L37" s="10">
        <f>SUM(C37:K37)</f>
        <v/>
      </c>
    </row>
    <row r="38">
      <c r="A38" s="8" t="n"/>
      <c r="B38" s="8" t="inlineStr">
        <is>
          <t>Cumulatief</t>
        </is>
      </c>
      <c r="C38" s="10">
        <f>C37</f>
        <v/>
      </c>
      <c r="D38" s="10">
        <f>C38+D37</f>
        <v/>
      </c>
      <c r="E38" s="10">
        <f>D38+E37</f>
        <v/>
      </c>
      <c r="F38" s="10">
        <f>E38+F37</f>
        <v/>
      </c>
      <c r="G38" s="10">
        <f>F38+G37</f>
        <v/>
      </c>
      <c r="H38" s="10">
        <f>G38+H37</f>
        <v/>
      </c>
      <c r="I38" s="10">
        <f>H38+I37</f>
        <v/>
      </c>
      <c r="J38" s="10">
        <f>I38+J37</f>
        <v/>
      </c>
      <c r="K38" s="10">
        <f>J38+K37</f>
        <v/>
      </c>
      <c r="L38" s="8" t="n"/>
    </row>
    <row r="39">
      <c r="A39" s="7" t="inlineStr">
        <is>
          <t>Totaal</t>
        </is>
      </c>
      <c r="B39" s="8" t="inlineStr">
        <is>
          <t>New Hires</t>
        </is>
      </c>
      <c r="C39" s="10">
        <f>C35+C37</f>
        <v/>
      </c>
      <c r="D39" s="10">
        <f>D35+D37</f>
        <v/>
      </c>
      <c r="E39" s="10">
        <f>E35+E37</f>
        <v/>
      </c>
      <c r="F39" s="10">
        <f>F35+F37</f>
        <v/>
      </c>
      <c r="G39" s="10">
        <f>G35+G37</f>
        <v/>
      </c>
      <c r="H39" s="10">
        <f>H35+H37</f>
        <v/>
      </c>
      <c r="I39" s="10">
        <f>I35+I37</f>
        <v/>
      </c>
      <c r="J39" s="10">
        <f>J35+J37</f>
        <v/>
      </c>
      <c r="K39" s="10">
        <f>K35+K37</f>
        <v/>
      </c>
      <c r="L39" s="10">
        <f>SUM(C39:K39)</f>
        <v/>
      </c>
    </row>
    <row r="40">
      <c r="A40" s="8" t="n"/>
      <c r="B40" s="8" t="inlineStr">
        <is>
          <t>Cumulatief</t>
        </is>
      </c>
      <c r="C40" s="10">
        <f>C39</f>
        <v/>
      </c>
      <c r="D40" s="10">
        <f>C40+D39</f>
        <v/>
      </c>
      <c r="E40" s="10">
        <f>D40+E39</f>
        <v/>
      </c>
      <c r="F40" s="10">
        <f>E40+F39</f>
        <v/>
      </c>
      <c r="G40" s="10">
        <f>F40+G39</f>
        <v/>
      </c>
      <c r="H40" s="10">
        <f>G40+H39</f>
        <v/>
      </c>
      <c r="I40" s="10">
        <f>H40+I39</f>
        <v/>
      </c>
      <c r="J40" s="10">
        <f>I40+J39</f>
        <v/>
      </c>
      <c r="K40" s="10">
        <f>J40+K39</f>
        <v/>
      </c>
      <c r="L40" s="8" t="n"/>
    </row>
    <row r="42">
      <c r="A42" s="2" t="inlineStr">
        <is>
          <t>ARR Targets (M EUR)</t>
        </is>
      </c>
    </row>
    <row r="43">
      <c r="A43" s="6" t="inlineStr">
        <is>
          <t>Metric</t>
        </is>
      </c>
      <c r="B43" s="6" t="n"/>
      <c r="C43" s="6" t="inlineStr">
        <is>
          <t>April</t>
        </is>
      </c>
      <c r="D43" s="6" t="inlineStr">
        <is>
          <t>May</t>
        </is>
      </c>
      <c r="E43" s="6" t="inlineStr">
        <is>
          <t>June</t>
        </is>
      </c>
      <c r="F43" s="6" t="inlineStr">
        <is>
          <t>July</t>
        </is>
      </c>
      <c r="G43" s="6" t="inlineStr">
        <is>
          <t>August</t>
        </is>
      </c>
      <c r="H43" s="6" t="inlineStr">
        <is>
          <t>September</t>
        </is>
      </c>
      <c r="I43" s="6" t="inlineStr">
        <is>
          <t>October</t>
        </is>
      </c>
      <c r="J43" s="6" t="inlineStr">
        <is>
          <t>November</t>
        </is>
      </c>
      <c r="K43" s="6" t="inlineStr">
        <is>
          <t>December</t>
        </is>
      </c>
      <c r="L43" s="6" t="inlineStr">
        <is>
          <t>Totaal</t>
        </is>
      </c>
    </row>
    <row r="44">
      <c r="A44" s="7" t="inlineStr">
        <is>
          <t>ARR Budget</t>
        </is>
      </c>
      <c r="B44" s="8" t="n"/>
      <c r="C44" s="11" t="n">
        <v>0.21</v>
      </c>
      <c r="D44" s="11" t="n">
        <v>0.24</v>
      </c>
      <c r="E44" s="11" t="n">
        <v>0.27</v>
      </c>
      <c r="F44" s="11" t="n">
        <v>0.31</v>
      </c>
      <c r="G44" s="11" t="n">
        <v>0.28</v>
      </c>
      <c r="H44" s="11" t="n">
        <v>0.47</v>
      </c>
      <c r="I44" s="11" t="n">
        <v>0.52</v>
      </c>
      <c r="J44" s="11" t="n">
        <v>0.55</v>
      </c>
      <c r="K44" s="11" t="n">
        <v>0.55</v>
      </c>
      <c r="L44" s="12">
        <f>SUM(C44:K44)</f>
        <v/>
      </c>
    </row>
    <row r="45">
      <c r="A45" s="7" t="inlineStr">
        <is>
          <t>ARR Stretch</t>
        </is>
      </c>
      <c r="B45" s="8" t="n"/>
      <c r="C45" s="11" t="n">
        <v>0.26</v>
      </c>
      <c r="D45" s="11" t="n">
        <v>0.4</v>
      </c>
      <c r="E45" s="11" t="n">
        <v>0.4</v>
      </c>
      <c r="F45" s="11" t="n">
        <v>0.5</v>
      </c>
      <c r="G45" s="11" t="n">
        <v>0.6</v>
      </c>
      <c r="H45" s="11" t="n">
        <v>0.65</v>
      </c>
      <c r="I45" s="11" t="n">
        <v>0.75</v>
      </c>
      <c r="J45" s="11" t="n">
        <v>0.85</v>
      </c>
      <c r="K45" s="11" t="n">
        <v>0.85</v>
      </c>
      <c r="L45" s="12">
        <f>SUM(C45:K45)</f>
        <v/>
      </c>
    </row>
    <row r="46">
      <c r="A46" s="7" t="inlineStr">
        <is>
          <t>SQLs</t>
        </is>
      </c>
      <c r="B46" s="8" t="n"/>
      <c r="C46" s="13" t="n">
        <v>370</v>
      </c>
      <c r="D46" s="9" t="n"/>
      <c r="E46" s="9" t="n"/>
      <c r="F46" s="9" t="n"/>
      <c r="G46" s="9" t="n"/>
      <c r="H46" s="9" t="n"/>
      <c r="I46" s="9" t="n"/>
      <c r="J46" s="9" t="n"/>
      <c r="K46" s="9" t="n"/>
      <c r="L46" s="8" t="n"/>
    </row>
    <row r="47">
      <c r="A47" s="7" t="inlineStr">
        <is>
          <t>Mango Leads</t>
        </is>
      </c>
      <c r="B47" s="8" t="n"/>
      <c r="C47" s="13" t="n">
        <v>100</v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8" t="n"/>
    </row>
    <row r="50">
      <c r="A50" s="14" t="inlineStr">
        <is>
          <t>SCENARIO 3: GROWTH</t>
        </is>
      </c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2">
      <c r="A52" s="2" t="inlineStr">
        <is>
          <t>Hiring Plan</t>
        </is>
      </c>
    </row>
    <row r="53">
      <c r="A53" s="6" t="inlineStr">
        <is>
          <t>Rol</t>
        </is>
      </c>
      <c r="B53" s="6" t="inlineStr">
        <is>
          <t>Type</t>
        </is>
      </c>
      <c r="C53" s="6" t="inlineStr">
        <is>
          <t>April</t>
        </is>
      </c>
      <c r="D53" s="6" t="inlineStr">
        <is>
          <t>May</t>
        </is>
      </c>
      <c r="E53" s="6" t="inlineStr">
        <is>
          <t>June</t>
        </is>
      </c>
      <c r="F53" s="6" t="inlineStr">
        <is>
          <t>July</t>
        </is>
      </c>
      <c r="G53" s="6" t="inlineStr">
        <is>
          <t>August</t>
        </is>
      </c>
      <c r="H53" s="6" t="inlineStr">
        <is>
          <t>September</t>
        </is>
      </c>
      <c r="I53" s="6" t="inlineStr">
        <is>
          <t>October</t>
        </is>
      </c>
      <c r="J53" s="6" t="inlineStr">
        <is>
          <t>November</t>
        </is>
      </c>
      <c r="K53" s="6" t="inlineStr">
        <is>
          <t>December</t>
        </is>
      </c>
      <c r="L53" s="6" t="inlineStr">
        <is>
          <t>Totaal</t>
        </is>
      </c>
    </row>
    <row r="54">
      <c r="A54" s="7" t="inlineStr">
        <is>
          <t>BDR</t>
        </is>
      </c>
      <c r="B54" s="8" t="inlineStr">
        <is>
          <t>New Hires</t>
        </is>
      </c>
      <c r="C54" s="9" t="n">
        <v>4</v>
      </c>
      <c r="D54" s="9" t="n">
        <v>3</v>
      </c>
      <c r="E54" s="9" t="n">
        <v>6</v>
      </c>
      <c r="F54" s="9" t="n">
        <v>6</v>
      </c>
      <c r="G54" s="9" t="n">
        <v>6</v>
      </c>
      <c r="H54" s="9" t="n">
        <v>6</v>
      </c>
      <c r="I54" s="9" t="n">
        <v>6</v>
      </c>
      <c r="J54" s="9" t="n">
        <v>6</v>
      </c>
      <c r="K54" s="9" t="n">
        <v>6</v>
      </c>
      <c r="L54" s="10">
        <f>SUM(C54:K54)</f>
        <v/>
      </c>
    </row>
    <row r="55">
      <c r="A55" s="8" t="n"/>
      <c r="B55" s="8" t="inlineStr">
        <is>
          <t>Cumulatief</t>
        </is>
      </c>
      <c r="C55" s="10">
        <f>C54</f>
        <v/>
      </c>
      <c r="D55" s="10">
        <f>C55+D54</f>
        <v/>
      </c>
      <c r="E55" s="10">
        <f>D55+E54</f>
        <v/>
      </c>
      <c r="F55" s="10">
        <f>E55+F54</f>
        <v/>
      </c>
      <c r="G55" s="10">
        <f>F55+G54</f>
        <v/>
      </c>
      <c r="H55" s="10">
        <f>G55+H54</f>
        <v/>
      </c>
      <c r="I55" s="10">
        <f>H55+I54</f>
        <v/>
      </c>
      <c r="J55" s="10">
        <f>I55+J54</f>
        <v/>
      </c>
      <c r="K55" s="10">
        <f>J55+K54</f>
        <v/>
      </c>
      <c r="L55" s="8" t="n"/>
    </row>
    <row r="56">
      <c r="A56" s="7" t="inlineStr">
        <is>
          <t>AE</t>
        </is>
      </c>
      <c r="B56" s="8" t="inlineStr">
        <is>
          <t>New Hires</t>
        </is>
      </c>
      <c r="C56" s="9" t="n">
        <v>2</v>
      </c>
      <c r="D56" s="9" t="n">
        <v>3</v>
      </c>
      <c r="E56" s="9" t="n">
        <v>6</v>
      </c>
      <c r="F56" s="9" t="n">
        <v>6</v>
      </c>
      <c r="G56" s="9" t="n">
        <v>6</v>
      </c>
      <c r="H56" s="9" t="n">
        <v>6</v>
      </c>
      <c r="I56" s="9" t="n">
        <v>6</v>
      </c>
      <c r="J56" s="9" t="n">
        <v>6</v>
      </c>
      <c r="K56" s="9" t="n">
        <v>6</v>
      </c>
      <c r="L56" s="10">
        <f>SUM(C56:K56)</f>
        <v/>
      </c>
    </row>
    <row r="57">
      <c r="A57" s="8" t="n"/>
      <c r="B57" s="8" t="inlineStr">
        <is>
          <t>Cumulatief</t>
        </is>
      </c>
      <c r="C57" s="10">
        <f>C56</f>
        <v/>
      </c>
      <c r="D57" s="10">
        <f>C57+D56</f>
        <v/>
      </c>
      <c r="E57" s="10">
        <f>D57+E56</f>
        <v/>
      </c>
      <c r="F57" s="10">
        <f>E57+F56</f>
        <v/>
      </c>
      <c r="G57" s="10">
        <f>F57+G56</f>
        <v/>
      </c>
      <c r="H57" s="10">
        <f>G57+H56</f>
        <v/>
      </c>
      <c r="I57" s="10">
        <f>H57+I56</f>
        <v/>
      </c>
      <c r="J57" s="10">
        <f>I57+J56</f>
        <v/>
      </c>
      <c r="K57" s="10">
        <f>J57+K56</f>
        <v/>
      </c>
      <c r="L57" s="8" t="n"/>
    </row>
    <row r="58">
      <c r="A58" s="7" t="inlineStr">
        <is>
          <t>Totaal</t>
        </is>
      </c>
      <c r="B58" s="8" t="inlineStr">
        <is>
          <t>New Hires</t>
        </is>
      </c>
      <c r="C58" s="10">
        <f>C54+C56</f>
        <v/>
      </c>
      <c r="D58" s="10">
        <f>D54+D56</f>
        <v/>
      </c>
      <c r="E58" s="10">
        <f>E54+E56</f>
        <v/>
      </c>
      <c r="F58" s="10">
        <f>F54+F56</f>
        <v/>
      </c>
      <c r="G58" s="10">
        <f>G54+G56</f>
        <v/>
      </c>
      <c r="H58" s="10">
        <f>H54+H56</f>
        <v/>
      </c>
      <c r="I58" s="10">
        <f>I54+I56</f>
        <v/>
      </c>
      <c r="J58" s="10">
        <f>J54+J56</f>
        <v/>
      </c>
      <c r="K58" s="10">
        <f>K54+K56</f>
        <v/>
      </c>
      <c r="L58" s="10">
        <f>SUM(C58:K58)</f>
        <v/>
      </c>
    </row>
    <row r="59">
      <c r="A59" s="8" t="n"/>
      <c r="B59" s="8" t="inlineStr">
        <is>
          <t>Cumulatief</t>
        </is>
      </c>
      <c r="C59" s="10">
        <f>C58</f>
        <v/>
      </c>
      <c r="D59" s="10">
        <f>C59+D58</f>
        <v/>
      </c>
      <c r="E59" s="10">
        <f>D59+E58</f>
        <v/>
      </c>
      <c r="F59" s="10">
        <f>E59+F58</f>
        <v/>
      </c>
      <c r="G59" s="10">
        <f>F59+G58</f>
        <v/>
      </c>
      <c r="H59" s="10">
        <f>G59+H58</f>
        <v/>
      </c>
      <c r="I59" s="10">
        <f>H59+I58</f>
        <v/>
      </c>
      <c r="J59" s="10">
        <f>I59+J58</f>
        <v/>
      </c>
      <c r="K59" s="10">
        <f>J59+K58</f>
        <v/>
      </c>
      <c r="L59" s="8" t="n"/>
    </row>
    <row r="61">
      <c r="A61" s="2" t="inlineStr">
        <is>
          <t>ARR Targets (M EUR)</t>
        </is>
      </c>
    </row>
    <row r="62">
      <c r="A62" s="6" t="inlineStr">
        <is>
          <t>Metric</t>
        </is>
      </c>
      <c r="B62" s="6" t="n"/>
      <c r="C62" s="6" t="inlineStr">
        <is>
          <t>April</t>
        </is>
      </c>
      <c r="D62" s="6" t="inlineStr">
        <is>
          <t>May</t>
        </is>
      </c>
      <c r="E62" s="6" t="inlineStr">
        <is>
          <t>June</t>
        </is>
      </c>
      <c r="F62" s="6" t="inlineStr">
        <is>
          <t>July</t>
        </is>
      </c>
      <c r="G62" s="6" t="inlineStr">
        <is>
          <t>August</t>
        </is>
      </c>
      <c r="H62" s="6" t="inlineStr">
        <is>
          <t>September</t>
        </is>
      </c>
      <c r="I62" s="6" t="inlineStr">
        <is>
          <t>October</t>
        </is>
      </c>
      <c r="J62" s="6" t="inlineStr">
        <is>
          <t>November</t>
        </is>
      </c>
      <c r="K62" s="6" t="inlineStr">
        <is>
          <t>December</t>
        </is>
      </c>
      <c r="L62" s="6" t="inlineStr">
        <is>
          <t>Totaal</t>
        </is>
      </c>
    </row>
    <row r="63">
      <c r="A63" s="7" t="inlineStr">
        <is>
          <t>ARR Budget</t>
        </is>
      </c>
      <c r="B63" s="8" t="n"/>
      <c r="C63" s="11" t="n">
        <v>0.21</v>
      </c>
      <c r="D63" s="11" t="n">
        <v>0.24</v>
      </c>
      <c r="E63" s="11" t="n">
        <v>0.27</v>
      </c>
      <c r="F63" s="11" t="n">
        <v>0.31</v>
      </c>
      <c r="G63" s="11" t="n">
        <v>0.28</v>
      </c>
      <c r="H63" s="11" t="n">
        <v>0.47</v>
      </c>
      <c r="I63" s="11" t="n">
        <v>0.52</v>
      </c>
      <c r="J63" s="11" t="n">
        <v>0.55</v>
      </c>
      <c r="K63" s="11" t="n">
        <v>0.55</v>
      </c>
      <c r="L63" s="12">
        <f>SUM(C63:K63)</f>
        <v/>
      </c>
    </row>
    <row r="64">
      <c r="A64" s="7" t="inlineStr">
        <is>
          <t>ARR Stretch</t>
        </is>
      </c>
      <c r="B64" s="8" t="n"/>
      <c r="C64" s="11" t="n">
        <v>0.26</v>
      </c>
      <c r="D64" s="11" t="n">
        <v>0.4</v>
      </c>
      <c r="E64" s="11" t="n">
        <v>0.4</v>
      </c>
      <c r="F64" s="11" t="n">
        <v>0.5</v>
      </c>
      <c r="G64" s="11" t="n">
        <v>0.6</v>
      </c>
      <c r="H64" s="11" t="n">
        <v>0.65</v>
      </c>
      <c r="I64" s="11" t="n">
        <v>0.75</v>
      </c>
      <c r="J64" s="11" t="n">
        <v>0.85</v>
      </c>
      <c r="K64" s="11" t="n">
        <v>0.85</v>
      </c>
      <c r="L64" s="12">
        <f>SUM(C64:K64)</f>
        <v/>
      </c>
    </row>
    <row r="65">
      <c r="A65" s="7" t="inlineStr">
        <is>
          <t>SQLs</t>
        </is>
      </c>
      <c r="B65" s="8" t="n"/>
      <c r="C65" s="13" t="n">
        <v>370</v>
      </c>
      <c r="D65" s="9" t="n"/>
      <c r="E65" s="9" t="n"/>
      <c r="F65" s="9" t="n"/>
      <c r="G65" s="9" t="n"/>
      <c r="H65" s="9" t="n"/>
      <c r="I65" s="9" t="n"/>
      <c r="J65" s="9" t="n"/>
      <c r="K65" s="9" t="n"/>
      <c r="L65" s="8" t="n"/>
    </row>
    <row r="66">
      <c r="A66" s="7" t="inlineStr">
        <is>
          <t>Mango Leads</t>
        </is>
      </c>
      <c r="B66" s="8" t="n"/>
      <c r="C66" s="13" t="n">
        <v>100</v>
      </c>
      <c r="D66" s="9" t="n"/>
      <c r="E66" s="9" t="n"/>
      <c r="F66" s="9" t="n"/>
      <c r="G66" s="9" t="n"/>
      <c r="H66" s="9" t="n"/>
      <c r="I66" s="9" t="n"/>
      <c r="J66" s="9" t="n"/>
      <c r="K66" s="9" t="n"/>
      <c r="L66" s="8" t="n"/>
    </row>
  </sheetData>
  <mergeCells count="8">
    <mergeCell ref="A10:L10"/>
    <mergeCell ref="A7:L7"/>
    <mergeCell ref="A1:L1"/>
    <mergeCell ref="A5:L5"/>
    <mergeCell ref="A8:L8"/>
    <mergeCell ref="A6:L6"/>
    <mergeCell ref="A9:L9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>
      <c r="A1" s="16" t="inlineStr">
        <is>
          <t>MM — Scenario Planning</t>
        </is>
      </c>
    </row>
    <row r="3">
      <c r="A3" s="17" t="inlineStr">
        <is>
          <t>ASSUMPTIONS</t>
        </is>
      </c>
    </row>
    <row r="4">
      <c r="A4" s="18" t="inlineStr">
        <is>
          <t>Yellow cells = inputs. Green cells = computed.</t>
        </is>
      </c>
    </row>
    <row r="5">
      <c r="A5" s="18" t="inlineStr">
        <is>
          <t>Per fully ramped AE: €240K/quarter = €80K/month.</t>
        </is>
      </c>
    </row>
    <row r="6">
      <c r="A6" s="18" t="inlineStr">
        <is>
          <t>Deal cadence per AE/month: 2 pilots (€15K) + 1 medium per 2 months (€50K) + 1 large per quarter (€100K).</t>
        </is>
      </c>
    </row>
    <row r="7">
      <c r="A7" s="18" t="inlineStr">
        <is>
          <t>New AE ramp: 50% → 75% → 100% over 3 months. Ramped AEs (Martijn, Victor) produce at full capacity.</t>
        </is>
      </c>
    </row>
    <row r="8">
      <c r="A8" s="18" t="inlineStr">
        <is>
          <t>Martijn: max 0.5 FTE throughout. Victor: 0.2 FTE → 1.0 FTE (Jun for baseline/push, May for hyper-push).</t>
        </is>
      </c>
    </row>
    <row r="9">
      <c r="A9" s="18" t="inlineStr">
        <is>
          <t>Blended close rate: 10% (meeting → deal). Deal type determined during sales process.</t>
        </is>
      </c>
    </row>
    <row r="10">
      <c r="A10" s="18" t="inlineStr">
        <is>
          <t>SMB BDR team contributes ~15 MM meetings/month (free pipeline).</t>
        </is>
      </c>
    </row>
    <row r="11">
      <c r="A11" s="18" t="inlineStr">
        <is>
          <t>Deal cycle: 2 months (SQL → close). Pipeline row shows when SQLs must be generated.</t>
        </is>
      </c>
    </row>
    <row r="12">
      <c r="A12" s="18" t="inlineStr">
        <is>
          <t>Pilot conversion at month 5: 40% → Medium, 10% → Large. Expansion = upside, not counted toward €2M.</t>
        </is>
      </c>
    </row>
    <row r="13">
      <c r="A13" s="18" t="inlineStr">
        <is>
          <t>AE cost: €6K/mo. BDR cost: €4K/mo.</t>
        </is>
      </c>
    </row>
    <row r="14">
      <c r="A14" s="18" t="inlineStr">
        <is>
          <t>Push/Hyper scenarios include 1 large deal closing in May (currently in advanced pipeline).</t>
        </is>
      </c>
    </row>
    <row r="17">
      <c r="A17" s="17" t="inlineStr">
        <is>
          <t>SCENARIO 1: BASELINE</t>
        </is>
      </c>
    </row>
    <row r="18">
      <c r="A18" s="19" t="inlineStr">
        <is>
          <t>Conservative ramp — prove the motion, then scale</t>
        </is>
      </c>
    </row>
    <row r="20">
      <c r="A20" s="20" t="inlineStr">
        <is>
          <t>NARRATIVE</t>
        </is>
      </c>
    </row>
    <row r="21">
      <c r="A21" s="21" t="inlineStr">
        <is>
          <t>We start with 0.7 FTE AE capacity (Martijn 0.5 + Victor 0.2) and 0.4 FTE BDR. Victor goes full-time in June, giving us 1.5 effective AEs. One new AE joins in July, ramping through Q3. A second new hire follows in October. BDR scales to 3 by Q4, supplemented by ~15 MM meetings/month from the SMB BDR team.</t>
        </is>
      </c>
    </row>
    <row r="22">
      <c r="A22" s="21" t="inlineStr">
        <is>
          <t>This is the 'prove it before you scale' path. We close our first pilots in May-June, get the narrative tested in 20+ meetings before hiring aggressively, and let the month-5 pilot reviews (starting September) validate the conversion thesis. If pilot conversion lands at 40%+, we have the signal to accelerate into 2027.</t>
        </is>
      </c>
    </row>
    <row r="23">
      <c r="A23" s="21" t="inlineStr">
        <is>
          <t>Risk profile: LOW. Total cost under €185K over 9 months. Downside: we land around €1.6M — short of €2M but with a clean foundation and proven playbook. Expansion from pilot conversions adds upside. The gap tells us exactly how much to accelerate in Q1 2027.</t>
        </is>
      </c>
    </row>
    <row r="25">
      <c r="A25" s="20" t="inlineStr">
        <is>
          <t>HEADCOUNT</t>
        </is>
      </c>
    </row>
    <row r="26">
      <c r="A26" s="22" t="inlineStr">
        <is>
          <t>Role</t>
        </is>
      </c>
      <c r="B26" s="22" t="inlineStr">
        <is>
          <t>Type</t>
        </is>
      </c>
      <c r="C26" s="22" t="inlineStr">
        <is>
          <t>Apr</t>
        </is>
      </c>
      <c r="D26" s="22" t="inlineStr">
        <is>
          <t>May</t>
        </is>
      </c>
      <c r="E26" s="22" t="inlineStr">
        <is>
          <t>Jun</t>
        </is>
      </c>
      <c r="F26" s="22" t="inlineStr">
        <is>
          <t>Jul</t>
        </is>
      </c>
      <c r="G26" s="22" t="inlineStr">
        <is>
          <t>Aug</t>
        </is>
      </c>
      <c r="H26" s="22" t="inlineStr">
        <is>
          <t>Sep</t>
        </is>
      </c>
      <c r="I26" s="22" t="inlineStr">
        <is>
          <t>Oct</t>
        </is>
      </c>
      <c r="J26" s="22" t="inlineStr">
        <is>
          <t>Nov</t>
        </is>
      </c>
      <c r="K26" s="22" t="inlineStr">
        <is>
          <t>Dec</t>
        </is>
      </c>
      <c r="L26" s="22" t="inlineStr">
        <is>
          <t>Peak</t>
        </is>
      </c>
    </row>
    <row r="27">
      <c r="A27" s="23" t="inlineStr">
        <is>
          <t>AEs (ramped)</t>
        </is>
      </c>
      <c r="B27" s="24" t="inlineStr">
        <is>
          <t>FTE</t>
        </is>
      </c>
      <c r="C27" s="25" t="n">
        <v>0.7</v>
      </c>
      <c r="D27" s="25" t="n">
        <v>0.7</v>
      </c>
      <c r="E27" s="25" t="n">
        <v>1.5</v>
      </c>
      <c r="F27" s="25" t="n">
        <v>1.5</v>
      </c>
      <c r="G27" s="25" t="n">
        <v>1.5</v>
      </c>
      <c r="H27" s="25" t="n">
        <v>1.5</v>
      </c>
      <c r="I27" s="25" t="n">
        <v>1.5</v>
      </c>
      <c r="J27" s="25" t="n">
        <v>1.5</v>
      </c>
      <c r="K27" s="25" t="n">
        <v>1.5</v>
      </c>
      <c r="L27" s="26" t="n">
        <v>1.5</v>
      </c>
    </row>
    <row r="28">
      <c r="A28" s="23" t="inlineStr">
        <is>
          <t>AEs (new hires)</t>
        </is>
      </c>
      <c r="B28" s="24" t="inlineStr">
        <is>
          <t>cumulative</t>
        </is>
      </c>
      <c r="C28" s="25" t="n">
        <v>0</v>
      </c>
      <c r="D28" s="25" t="n">
        <v>0</v>
      </c>
      <c r="E28" s="25" t="n">
        <v>0</v>
      </c>
      <c r="F28" s="25" t="n">
        <v>1</v>
      </c>
      <c r="G28" s="25" t="n">
        <v>1</v>
      </c>
      <c r="H28" s="25" t="n">
        <v>1</v>
      </c>
      <c r="I28" s="25" t="n">
        <v>1</v>
      </c>
      <c r="J28" s="25" t="n">
        <v>2</v>
      </c>
      <c r="K28" s="25" t="n">
        <v>2</v>
      </c>
      <c r="L28" s="26" t="n">
        <v>2</v>
      </c>
    </row>
    <row r="29">
      <c r="A29" s="23" t="inlineStr">
        <is>
          <t>Effective AEs</t>
        </is>
      </c>
      <c r="B29" s="24" t="inlineStr">
        <is>
          <t>incl. ramp</t>
        </is>
      </c>
      <c r="C29" s="27" t="inlineStr">
        <is>
          <t>0.7</t>
        </is>
      </c>
      <c r="D29" s="27" t="inlineStr">
        <is>
          <t>0.7</t>
        </is>
      </c>
      <c r="E29" s="27" t="inlineStr">
        <is>
          <t>1.5</t>
        </is>
      </c>
      <c r="F29" s="27" t="inlineStr">
        <is>
          <t>2.0</t>
        </is>
      </c>
      <c r="G29" s="27" t="inlineStr">
        <is>
          <t>2.2</t>
        </is>
      </c>
      <c r="H29" s="27" t="inlineStr">
        <is>
          <t>2.5</t>
        </is>
      </c>
      <c r="I29" s="27" t="inlineStr">
        <is>
          <t>2.5</t>
        </is>
      </c>
      <c r="J29" s="27" t="inlineStr">
        <is>
          <t>3.0</t>
        </is>
      </c>
      <c r="K29" s="27" t="inlineStr">
        <is>
          <t>3.2</t>
        </is>
      </c>
      <c r="L29" s="26" t="inlineStr">
        <is>
          <t>3.2</t>
        </is>
      </c>
    </row>
    <row r="30">
      <c r="A30" s="23" t="inlineStr">
        <is>
          <t>BDRs (dedicated)</t>
        </is>
      </c>
      <c r="B30" s="24" t="inlineStr">
        <is>
          <t>FTE</t>
        </is>
      </c>
      <c r="C30" s="25" t="n">
        <v>0.4</v>
      </c>
      <c r="D30" s="25" t="n">
        <v>0.4</v>
      </c>
      <c r="E30" s="25" t="n">
        <v>1</v>
      </c>
      <c r="F30" s="25" t="n">
        <v>1</v>
      </c>
      <c r="G30" s="25" t="n">
        <v>2</v>
      </c>
      <c r="H30" s="25" t="n">
        <v>2</v>
      </c>
      <c r="I30" s="25" t="n">
        <v>3</v>
      </c>
      <c r="J30" s="25" t="n">
        <v>3</v>
      </c>
      <c r="K30" s="25" t="n">
        <v>3</v>
      </c>
      <c r="L30" s="26" t="n">
        <v>3</v>
      </c>
    </row>
    <row r="31">
      <c r="A31" s="23" t="inlineStr">
        <is>
          <t>Total headcount</t>
        </is>
      </c>
      <c r="C31" s="27" t="inlineStr">
        <is>
          <t>1.1</t>
        </is>
      </c>
      <c r="D31" s="27" t="inlineStr">
        <is>
          <t>1.1</t>
        </is>
      </c>
      <c r="E31" s="27" t="inlineStr">
        <is>
          <t>2.5</t>
        </is>
      </c>
      <c r="F31" s="27" t="inlineStr">
        <is>
          <t>3.5</t>
        </is>
      </c>
      <c r="G31" s="27" t="inlineStr">
        <is>
          <t>4.5</t>
        </is>
      </c>
      <c r="H31" s="27" t="inlineStr">
        <is>
          <t>4.5</t>
        </is>
      </c>
      <c r="I31" s="27" t="inlineStr">
        <is>
          <t>5.5</t>
        </is>
      </c>
      <c r="J31" s="27" t="inlineStr">
        <is>
          <t>6.5</t>
        </is>
      </c>
      <c r="K31" s="27" t="inlineStr">
        <is>
          <t>6.5</t>
        </is>
      </c>
      <c r="L31" s="26" t="inlineStr">
        <is>
          <t>6</t>
        </is>
      </c>
    </row>
    <row r="32">
      <c r="A32" s="23" t="inlineStr">
        <is>
          <t>Monthly cost</t>
        </is>
      </c>
      <c r="C32" s="28" t="inlineStr">
        <is>
          <t>€5.8k</t>
        </is>
      </c>
      <c r="D32" s="28" t="inlineStr">
        <is>
          <t>€5.8k</t>
        </is>
      </c>
      <c r="E32" s="28" t="inlineStr">
        <is>
          <t>€13.0k</t>
        </is>
      </c>
      <c r="F32" s="28" t="inlineStr">
        <is>
          <t>€19.0k</t>
        </is>
      </c>
      <c r="G32" s="28" t="inlineStr">
        <is>
          <t>€23.0k</t>
        </is>
      </c>
      <c r="H32" s="28" t="inlineStr">
        <is>
          <t>€23.0k</t>
        </is>
      </c>
      <c r="I32" s="28" t="inlineStr">
        <is>
          <t>€27.0k</t>
        </is>
      </c>
      <c r="J32" s="28" t="inlineStr">
        <is>
          <t>€33.0k</t>
        </is>
      </c>
      <c r="K32" s="28" t="inlineStr">
        <is>
          <t>€33.0k</t>
        </is>
      </c>
      <c r="L32" s="26" t="inlineStr">
        <is>
          <t>€183k total</t>
        </is>
      </c>
    </row>
    <row r="34">
      <c r="A34" s="20" t="inlineStr">
        <is>
          <t>DEAL FLOW</t>
        </is>
      </c>
      <c r="B34" s="24" t="inlineStr">
        <is>
          <t>from AE capacity</t>
        </is>
      </c>
    </row>
    <row r="35">
      <c r="A35" s="22" t="inlineStr">
        <is>
          <t>Type</t>
        </is>
      </c>
      <c r="B35" s="22" t="inlineStr"/>
      <c r="C35" s="22" t="inlineStr">
        <is>
          <t>Apr</t>
        </is>
      </c>
      <c r="D35" s="22" t="inlineStr">
        <is>
          <t>May</t>
        </is>
      </c>
      <c r="E35" s="22" t="inlineStr">
        <is>
          <t>Jun</t>
        </is>
      </c>
      <c r="F35" s="22" t="inlineStr">
        <is>
          <t>Jul</t>
        </is>
      </c>
      <c r="G35" s="22" t="inlineStr">
        <is>
          <t>Aug</t>
        </is>
      </c>
      <c r="H35" s="22" t="inlineStr">
        <is>
          <t>Sep</t>
        </is>
      </c>
      <c r="I35" s="22" t="inlineStr">
        <is>
          <t>Oct</t>
        </is>
      </c>
      <c r="J35" s="22" t="inlineStr">
        <is>
          <t>Nov</t>
        </is>
      </c>
      <c r="K35" s="22" t="inlineStr">
        <is>
          <t>Dec</t>
        </is>
      </c>
      <c r="L35" s="22" t="inlineStr">
        <is>
          <t>Total</t>
        </is>
      </c>
    </row>
    <row r="36">
      <c r="A36" s="23" t="inlineStr">
        <is>
          <t>Pilots</t>
        </is>
      </c>
      <c r="B36" s="24" t="inlineStr">
        <is>
          <t>€15K ARR</t>
        </is>
      </c>
      <c r="C36" s="28" t="n">
        <v>1</v>
      </c>
      <c r="D36" s="28" t="n">
        <v>1</v>
      </c>
      <c r="E36" s="28" t="n">
        <v>3</v>
      </c>
      <c r="F36" s="28" t="n">
        <v>4</v>
      </c>
      <c r="G36" s="28" t="n">
        <v>4</v>
      </c>
      <c r="H36" s="28" t="n">
        <v>5</v>
      </c>
      <c r="I36" s="28" t="n">
        <v>5</v>
      </c>
      <c r="J36" s="28" t="n">
        <v>6</v>
      </c>
      <c r="K36" s="28" t="n">
        <v>6</v>
      </c>
      <c r="L36" s="26" t="n">
        <v>35</v>
      </c>
    </row>
    <row r="37">
      <c r="A37" s="23" t="inlineStr">
        <is>
          <t>Medium</t>
        </is>
      </c>
      <c r="B37" s="24" t="inlineStr">
        <is>
          <t>€50K ARR</t>
        </is>
      </c>
      <c r="C37" s="28" t="n">
        <v>0</v>
      </c>
      <c r="D37" s="28" t="n">
        <v>0</v>
      </c>
      <c r="E37" s="28" t="n">
        <v>1</v>
      </c>
      <c r="F37" s="28" t="n">
        <v>1</v>
      </c>
      <c r="G37" s="28" t="n">
        <v>1</v>
      </c>
      <c r="H37" s="28" t="n">
        <v>1</v>
      </c>
      <c r="I37" s="28" t="n">
        <v>1</v>
      </c>
      <c r="J37" s="28" t="n">
        <v>2</v>
      </c>
      <c r="K37" s="28" t="n">
        <v>2</v>
      </c>
      <c r="L37" s="26" t="n">
        <v>9</v>
      </c>
    </row>
    <row r="38">
      <c r="A38" s="23" t="inlineStr">
        <is>
          <t>Large</t>
        </is>
      </c>
      <c r="B38" s="24" t="inlineStr">
        <is>
          <t>€100K ARR</t>
        </is>
      </c>
      <c r="C38" s="28" t="n">
        <v>0</v>
      </c>
      <c r="D38" s="28" t="n">
        <v>0</v>
      </c>
      <c r="E38" s="28" t="n">
        <v>0</v>
      </c>
      <c r="F38" s="28" t="n">
        <v>1</v>
      </c>
      <c r="G38" s="28" t="n">
        <v>1</v>
      </c>
      <c r="H38" s="28" t="n">
        <v>1</v>
      </c>
      <c r="I38" s="28" t="n">
        <v>1</v>
      </c>
      <c r="J38" s="28" t="n">
        <v>1</v>
      </c>
      <c r="K38" s="28" t="n">
        <v>1</v>
      </c>
      <c r="L38" s="26" t="n">
        <v>6</v>
      </c>
    </row>
    <row r="39">
      <c r="A39" s="23" t="inlineStr">
        <is>
          <t>Total deals closing</t>
        </is>
      </c>
      <c r="C39" s="27" t="n">
        <v>1</v>
      </c>
      <c r="D39" s="27" t="n">
        <v>1</v>
      </c>
      <c r="E39" s="27" t="n">
        <v>4</v>
      </c>
      <c r="F39" s="27" t="n">
        <v>6</v>
      </c>
      <c r="G39" s="27" t="n">
        <v>6</v>
      </c>
      <c r="H39" s="27" t="n">
        <v>7</v>
      </c>
      <c r="I39" s="27" t="n">
        <v>7</v>
      </c>
      <c r="J39" s="27" t="n">
        <v>9</v>
      </c>
      <c r="K39" s="27" t="n">
        <v>9</v>
      </c>
      <c r="L39" s="26" t="n">
        <v>50</v>
      </c>
    </row>
    <row r="41">
      <c r="A41" s="20" t="inlineStr">
        <is>
          <t>PIPELINE NEEDED</t>
        </is>
      </c>
      <c r="B41" s="24" t="inlineStr">
        <is>
          <t>2-mo cycle</t>
        </is>
      </c>
    </row>
    <row r="42">
      <c r="A42" s="22" t="inlineStr">
        <is>
          <t>Metric</t>
        </is>
      </c>
      <c r="B42" s="22" t="inlineStr"/>
      <c r="C42" s="22" t="inlineStr">
        <is>
          <t>Feb</t>
        </is>
      </c>
      <c r="D42" s="22" t="inlineStr">
        <is>
          <t>Mar</t>
        </is>
      </c>
      <c r="E42" s="22" t="inlineStr">
        <is>
          <t>Apr</t>
        </is>
      </c>
      <c r="F42" s="22" t="inlineStr">
        <is>
          <t>May</t>
        </is>
      </c>
      <c r="G42" s="22" t="inlineStr">
        <is>
          <t>Jun</t>
        </is>
      </c>
      <c r="H42" s="22" t="inlineStr">
        <is>
          <t>Jul</t>
        </is>
      </c>
      <c r="I42" s="22" t="inlineStr">
        <is>
          <t>Aug</t>
        </is>
      </c>
      <c r="J42" s="22" t="inlineStr">
        <is>
          <t>Sep</t>
        </is>
      </c>
      <c r="K42" s="22" t="inlineStr">
        <is>
          <t>Oct</t>
        </is>
      </c>
      <c r="L42" s="22" t="inlineStr">
        <is>
          <t>Nov</t>
        </is>
      </c>
      <c r="M42" s="22" t="inlineStr">
        <is>
          <t>Dec</t>
        </is>
      </c>
      <c r="N42" s="22" t="inlineStr">
        <is>
          <t>Total</t>
        </is>
      </c>
    </row>
    <row r="43">
      <c r="A43" s="23" t="inlineStr">
        <is>
          <t>Deals closing</t>
        </is>
      </c>
      <c r="B43" s="24" t="inlineStr">
        <is>
          <t>when they close</t>
        </is>
      </c>
      <c r="C43" s="30" t="inlineStr">
        <is>
          <t>-</t>
        </is>
      </c>
      <c r="D43" s="30" t="inlineStr">
        <is>
          <t>-</t>
        </is>
      </c>
      <c r="E43" s="30" t="n">
        <v>1</v>
      </c>
      <c r="F43" s="30" t="n">
        <v>1</v>
      </c>
      <c r="G43" s="30" t="n">
        <v>4</v>
      </c>
      <c r="H43" s="30" t="n">
        <v>6</v>
      </c>
      <c r="I43" s="30" t="n">
        <v>6</v>
      </c>
      <c r="J43" s="30" t="n">
        <v>7</v>
      </c>
      <c r="K43" s="30" t="n">
        <v>7</v>
      </c>
      <c r="L43" s="30" t="n">
        <v>9</v>
      </c>
      <c r="M43" s="30" t="n">
        <v>9</v>
      </c>
      <c r="N43" s="29" t="n">
        <v>50</v>
      </c>
    </row>
    <row r="44">
      <c r="A44" s="23" t="inlineStr">
        <is>
          <t>SQLs needed</t>
        </is>
      </c>
      <c r="B44" s="24" t="inlineStr">
        <is>
          <t>when to generate</t>
        </is>
      </c>
      <c r="C44" s="43" t="n">
        <v>10</v>
      </c>
      <c r="D44" s="43" t="n">
        <v>10</v>
      </c>
      <c r="E44" s="43" t="n">
        <v>40</v>
      </c>
      <c r="F44" s="43" t="n">
        <v>60</v>
      </c>
      <c r="G44" s="43" t="n">
        <v>60</v>
      </c>
      <c r="H44" s="43" t="n">
        <v>70</v>
      </c>
      <c r="I44" s="43" t="n">
        <v>70</v>
      </c>
      <c r="J44" s="43" t="n">
        <v>90</v>
      </c>
      <c r="K44" s="43" t="n">
        <v>90</v>
      </c>
      <c r="L44" s="43" t="inlineStr">
        <is>
          <t>-</t>
        </is>
      </c>
      <c r="M44" s="43" t="inlineStr">
        <is>
          <t>-</t>
        </is>
      </c>
      <c r="N44" s="44" t="n">
        <v>500</v>
      </c>
    </row>
    <row r="46">
      <c r="A46" s="20" t="inlineStr">
        <is>
          <t>ARR WATERFALL</t>
        </is>
      </c>
    </row>
    <row r="47">
      <c r="A47" s="22" t="inlineStr">
        <is>
          <t>Source</t>
        </is>
      </c>
      <c r="B47" s="22" t="inlineStr"/>
      <c r="C47" s="22" t="inlineStr">
        <is>
          <t>Apr</t>
        </is>
      </c>
      <c r="D47" s="22" t="inlineStr">
        <is>
          <t>May</t>
        </is>
      </c>
      <c r="E47" s="22" t="inlineStr">
        <is>
          <t>Jun</t>
        </is>
      </c>
      <c r="F47" s="22" t="inlineStr">
        <is>
          <t>Jul</t>
        </is>
      </c>
      <c r="G47" s="22" t="inlineStr">
        <is>
          <t>Aug</t>
        </is>
      </c>
      <c r="H47" s="22" t="inlineStr">
        <is>
          <t>Sep</t>
        </is>
      </c>
      <c r="I47" s="22" t="inlineStr">
        <is>
          <t>Oct</t>
        </is>
      </c>
      <c r="J47" s="22" t="inlineStr">
        <is>
          <t>Nov</t>
        </is>
      </c>
      <c r="K47" s="22" t="inlineStr">
        <is>
          <t>Dec</t>
        </is>
      </c>
      <c r="L47" s="22" t="inlineStr">
        <is>
          <t>Total</t>
        </is>
      </c>
    </row>
    <row r="48">
      <c r="A48" s="23" t="inlineStr">
        <is>
          <t>New deal ARR /mo</t>
        </is>
      </c>
      <c r="C48" s="30" t="inlineStr">
        <is>
          <t>€15k</t>
        </is>
      </c>
      <c r="D48" s="30" t="inlineStr">
        <is>
          <t>€15k</t>
        </is>
      </c>
      <c r="E48" s="30" t="inlineStr">
        <is>
          <t>€95k</t>
        </is>
      </c>
      <c r="F48" s="30" t="inlineStr">
        <is>
          <t>€210k</t>
        </is>
      </c>
      <c r="G48" s="30" t="inlineStr">
        <is>
          <t>€210k</t>
        </is>
      </c>
      <c r="H48" s="30" t="inlineStr">
        <is>
          <t>€225k</t>
        </is>
      </c>
      <c r="I48" s="30" t="inlineStr">
        <is>
          <t>€225k</t>
        </is>
      </c>
      <c r="J48" s="30" t="inlineStr">
        <is>
          <t>€290k</t>
        </is>
      </c>
      <c r="K48" s="30" t="inlineStr">
        <is>
          <t>€290k</t>
        </is>
      </c>
      <c r="L48" s="29" t="inlineStr">
        <is>
          <t>€1.57M</t>
        </is>
      </c>
    </row>
    <row r="49">
      <c r="A49" s="23" t="inlineStr">
        <is>
          <t>Cum. new deal ARR</t>
        </is>
      </c>
      <c r="B49" s="24">
        <f> €2M target</f>
        <v/>
      </c>
      <c r="C49" s="31" t="inlineStr">
        <is>
          <t>€15k</t>
        </is>
      </c>
      <c r="D49" s="31" t="inlineStr">
        <is>
          <t>€30k</t>
        </is>
      </c>
      <c r="E49" s="31" t="inlineStr">
        <is>
          <t>€125k</t>
        </is>
      </c>
      <c r="F49" s="31" t="inlineStr">
        <is>
          <t>€335k</t>
        </is>
      </c>
      <c r="G49" s="31" t="inlineStr">
        <is>
          <t>€545k</t>
        </is>
      </c>
      <c r="H49" s="31" t="inlineStr">
        <is>
          <t>€770k</t>
        </is>
      </c>
      <c r="I49" s="31" t="inlineStr">
        <is>
          <t>€995k</t>
        </is>
      </c>
      <c r="J49" s="31" t="inlineStr">
        <is>
          <t>€1.28M</t>
        </is>
      </c>
      <c r="K49" s="31" t="inlineStr">
        <is>
          <t>€1.57M</t>
        </is>
      </c>
      <c r="L49" s="32" t="inlineStr">
        <is>
          <t>€1.57M</t>
        </is>
      </c>
    </row>
    <row r="50">
      <c r="A50" s="23" t="inlineStr">
        <is>
          <t>Expansion /mo</t>
        </is>
      </c>
      <c r="B50" s="24" t="inlineStr">
        <is>
          <t>upside</t>
        </is>
      </c>
      <c r="C50" s="34" t="inlineStr">
        <is>
          <t>-</t>
        </is>
      </c>
      <c r="D50" s="34" t="inlineStr">
        <is>
          <t>-</t>
        </is>
      </c>
      <c r="E50" s="34" t="inlineStr">
        <is>
          <t>-</t>
        </is>
      </c>
      <c r="F50" s="34" t="inlineStr">
        <is>
          <t>-</t>
        </is>
      </c>
      <c r="G50" s="34" t="inlineStr">
        <is>
          <t>-</t>
        </is>
      </c>
      <c r="H50" s="34" t="inlineStr">
        <is>
          <t>-</t>
        </is>
      </c>
      <c r="I50" s="34" t="inlineStr">
        <is>
          <t>-</t>
        </is>
      </c>
      <c r="J50" s="34" t="inlineStr">
        <is>
          <t>€35k</t>
        </is>
      </c>
      <c r="K50" s="34" t="inlineStr">
        <is>
          <t>€70k</t>
        </is>
      </c>
      <c r="L50" s="42" t="inlineStr">
        <is>
          <t>+€105k</t>
        </is>
      </c>
    </row>
    <row r="51">
      <c r="A51" s="23" t="inlineStr">
        <is>
          <t>Total ARR</t>
        </is>
      </c>
      <c r="C51" s="35" t="inlineStr">
        <is>
          <t>€15k</t>
        </is>
      </c>
      <c r="D51" s="35" t="inlineStr">
        <is>
          <t>€30k</t>
        </is>
      </c>
      <c r="E51" s="35" t="inlineStr">
        <is>
          <t>€125k</t>
        </is>
      </c>
      <c r="F51" s="35" t="inlineStr">
        <is>
          <t>€335k</t>
        </is>
      </c>
      <c r="G51" s="35" t="inlineStr">
        <is>
          <t>€545k</t>
        </is>
      </c>
      <c r="H51" s="35" t="inlineStr">
        <is>
          <t>€770k</t>
        </is>
      </c>
      <c r="I51" s="35" t="inlineStr">
        <is>
          <t>€995k</t>
        </is>
      </c>
      <c r="J51" s="35" t="inlineStr">
        <is>
          <t>€1.32M</t>
        </is>
      </c>
      <c r="K51" s="35" t="inlineStr">
        <is>
          <t>€1.68M</t>
        </is>
      </c>
      <c r="L51" s="36" t="inlineStr">
        <is>
          <t>€1.68M</t>
        </is>
      </c>
    </row>
    <row r="53">
      <c r="A53" s="20" t="inlineStr">
        <is>
          <t>BDR FUNNEL</t>
        </is>
      </c>
    </row>
    <row r="54">
      <c r="A54" s="18" t="inlineStr">
        <is>
          <t>50 deals ÷ 10% = 500 meetings over 9 months</t>
        </is>
      </c>
    </row>
    <row r="55">
      <c r="A55" s="18">
        <f> 56/mo − 15 from SMB BDRs = 41 from dedicated BDRs</f>
        <v/>
      </c>
    </row>
    <row r="56">
      <c r="A56" s="37" t="inlineStr">
        <is>
          <t>41/mo ÷ 15/BDR = 3 dedicated MM BDRs needed</t>
        </is>
      </c>
    </row>
    <row r="59">
      <c r="A59" s="17" t="inlineStr">
        <is>
          <t>SCENARIO 2: PUSH</t>
        </is>
      </c>
    </row>
    <row r="60">
      <c r="A60" s="19" t="inlineStr">
        <is>
          <t>Hit €2M — staggered hiring, one whale in the bag</t>
        </is>
      </c>
    </row>
    <row r="62">
      <c r="A62" s="20" t="inlineStr">
        <is>
          <t>NARRATIVE</t>
        </is>
      </c>
    </row>
    <row r="63">
      <c r="A63" s="21" t="inlineStr">
        <is>
          <t>The push scenario targets €2M new deal ARR with three levers: an early AE hire in June, staggered reinforcements in August and October, and a large deal already in advanced pipeline closing in May. Victor goes full-time in June. Martijn stays at 0.5 FTE throughout.</t>
        </is>
      </c>
    </row>
    <row r="64">
      <c r="A64" s="21" t="inlineStr">
        <is>
          <t>The May large deal (€100K) is not speculative — it's an active opportunity already in late-stage pipeline. This anchors Q2 revenue and buys time for the June AE hire to ramp. By Q4, we have 4+ effective AEs producing across all three tiers. BDR scales to 5 with the SMB team contributing ~15 meetings/month on top.</t>
        </is>
      </c>
    </row>
    <row r="65">
      <c r="A65" s="21" t="inlineStr">
        <is>
          <t>Risk profile: MEDIUM. The staggered hiring (Jun/Aug/Oct) gives us an exit ramp at each stage. If the June hire underperforms, we delay August. If close rates drop to 7%, we still land around €1.5M. Monthly burn peaks at €38K. But if the motion works and the May deal signals market readiness, we're past €2M with room to accelerate into 2027.</t>
        </is>
      </c>
    </row>
    <row r="67">
      <c r="A67" s="20" t="inlineStr">
        <is>
          <t>HEADCOUNT</t>
        </is>
      </c>
    </row>
    <row r="68">
      <c r="A68" s="22" t="inlineStr">
        <is>
          <t>Role</t>
        </is>
      </c>
      <c r="B68" s="22" t="inlineStr">
        <is>
          <t>Type</t>
        </is>
      </c>
      <c r="C68" s="22" t="inlineStr">
        <is>
          <t>Apr</t>
        </is>
      </c>
      <c r="D68" s="22" t="inlineStr">
        <is>
          <t>May</t>
        </is>
      </c>
      <c r="E68" s="22" t="inlineStr">
        <is>
          <t>Jun</t>
        </is>
      </c>
      <c r="F68" s="22" t="inlineStr">
        <is>
          <t>Jul</t>
        </is>
      </c>
      <c r="G68" s="22" t="inlineStr">
        <is>
          <t>Aug</t>
        </is>
      </c>
      <c r="H68" s="22" t="inlineStr">
        <is>
          <t>Sep</t>
        </is>
      </c>
      <c r="I68" s="22" t="inlineStr">
        <is>
          <t>Oct</t>
        </is>
      </c>
      <c r="J68" s="22" t="inlineStr">
        <is>
          <t>Nov</t>
        </is>
      </c>
      <c r="K68" s="22" t="inlineStr">
        <is>
          <t>Dec</t>
        </is>
      </c>
      <c r="L68" s="22" t="inlineStr">
        <is>
          <t>Peak</t>
        </is>
      </c>
    </row>
    <row r="69">
      <c r="A69" s="23" t="inlineStr">
        <is>
          <t>AEs (ramped)</t>
        </is>
      </c>
      <c r="B69" s="24" t="inlineStr">
        <is>
          <t>FTE</t>
        </is>
      </c>
      <c r="C69" s="25" t="n">
        <v>0.7</v>
      </c>
      <c r="D69" s="25" t="n">
        <v>0.7</v>
      </c>
      <c r="E69" s="25" t="n">
        <v>1.5</v>
      </c>
      <c r="F69" s="25" t="n">
        <v>1.5</v>
      </c>
      <c r="G69" s="25" t="n">
        <v>1.5</v>
      </c>
      <c r="H69" s="25" t="n">
        <v>1.5</v>
      </c>
      <c r="I69" s="25" t="n">
        <v>1.5</v>
      </c>
      <c r="J69" s="25" t="n">
        <v>1.5</v>
      </c>
      <c r="K69" s="25" t="n">
        <v>1.5</v>
      </c>
      <c r="L69" s="26" t="n">
        <v>1.5</v>
      </c>
    </row>
    <row r="70">
      <c r="A70" s="23" t="inlineStr">
        <is>
          <t>AEs (new hires)</t>
        </is>
      </c>
      <c r="B70" s="24" t="inlineStr">
        <is>
          <t>cumulative</t>
        </is>
      </c>
      <c r="C70" s="25" t="n">
        <v>0</v>
      </c>
      <c r="D70" s="25" t="n">
        <v>0</v>
      </c>
      <c r="E70" s="25" t="n">
        <v>1</v>
      </c>
      <c r="F70" s="25" t="n">
        <v>1</v>
      </c>
      <c r="G70" s="25" t="n">
        <v>2</v>
      </c>
      <c r="H70" s="25" t="n">
        <v>2</v>
      </c>
      <c r="I70" s="25" t="n">
        <v>2</v>
      </c>
      <c r="J70" s="25" t="n">
        <v>3</v>
      </c>
      <c r="K70" s="25" t="n">
        <v>3</v>
      </c>
      <c r="L70" s="26" t="n">
        <v>3</v>
      </c>
    </row>
    <row r="71">
      <c r="A71" s="23" t="inlineStr">
        <is>
          <t>Effective AEs</t>
        </is>
      </c>
      <c r="B71" s="24" t="inlineStr">
        <is>
          <t>incl. ramp</t>
        </is>
      </c>
      <c r="C71" s="27" t="inlineStr">
        <is>
          <t>0.7</t>
        </is>
      </c>
      <c r="D71" s="27" t="inlineStr">
        <is>
          <t>0.7</t>
        </is>
      </c>
      <c r="E71" s="27" t="inlineStr">
        <is>
          <t>2.0</t>
        </is>
      </c>
      <c r="F71" s="27" t="inlineStr">
        <is>
          <t>2.2</t>
        </is>
      </c>
      <c r="G71" s="27" t="inlineStr">
        <is>
          <t>3.0</t>
        </is>
      </c>
      <c r="H71" s="27" t="inlineStr">
        <is>
          <t>3.2</t>
        </is>
      </c>
      <c r="I71" s="27" t="inlineStr">
        <is>
          <t>3.5</t>
        </is>
      </c>
      <c r="J71" s="27" t="inlineStr">
        <is>
          <t>4.0</t>
        </is>
      </c>
      <c r="K71" s="27" t="inlineStr">
        <is>
          <t>4.2</t>
        </is>
      </c>
      <c r="L71" s="26" t="inlineStr">
        <is>
          <t>4.2</t>
        </is>
      </c>
    </row>
    <row r="72">
      <c r="A72" s="23" t="inlineStr">
        <is>
          <t>BDRs (dedicated)</t>
        </is>
      </c>
      <c r="B72" s="24" t="inlineStr">
        <is>
          <t>FTE</t>
        </is>
      </c>
      <c r="C72" s="25" t="n">
        <v>0.4</v>
      </c>
      <c r="D72" s="25" t="n">
        <v>1</v>
      </c>
      <c r="E72" s="25" t="n">
        <v>2</v>
      </c>
      <c r="F72" s="25" t="n">
        <v>3</v>
      </c>
      <c r="G72" s="25" t="n">
        <v>4</v>
      </c>
      <c r="H72" s="25" t="n">
        <v>4</v>
      </c>
      <c r="I72" s="25" t="n">
        <v>5</v>
      </c>
      <c r="J72" s="25" t="n">
        <v>5</v>
      </c>
      <c r="K72" s="25" t="n">
        <v>5</v>
      </c>
      <c r="L72" s="26" t="n">
        <v>5</v>
      </c>
    </row>
    <row r="73">
      <c r="A73" s="23" t="inlineStr">
        <is>
          <t>Total headcount</t>
        </is>
      </c>
      <c r="C73" s="27" t="inlineStr">
        <is>
          <t>1.1</t>
        </is>
      </c>
      <c r="D73" s="27" t="inlineStr">
        <is>
          <t>1.7</t>
        </is>
      </c>
      <c r="E73" s="27" t="inlineStr">
        <is>
          <t>4.5</t>
        </is>
      </c>
      <c r="F73" s="27" t="inlineStr">
        <is>
          <t>5.5</t>
        </is>
      </c>
      <c r="G73" s="27" t="inlineStr">
        <is>
          <t>7.5</t>
        </is>
      </c>
      <c r="H73" s="27" t="inlineStr">
        <is>
          <t>7.5</t>
        </is>
      </c>
      <c r="I73" s="27" t="inlineStr">
        <is>
          <t>8.5</t>
        </is>
      </c>
      <c r="J73" s="27" t="inlineStr">
        <is>
          <t>9.5</t>
        </is>
      </c>
      <c r="K73" s="27" t="inlineStr">
        <is>
          <t>9.5</t>
        </is>
      </c>
      <c r="L73" s="26" t="inlineStr">
        <is>
          <t>10</t>
        </is>
      </c>
    </row>
    <row r="74">
      <c r="A74" s="23" t="inlineStr">
        <is>
          <t>Monthly cost</t>
        </is>
      </c>
      <c r="C74" s="28" t="inlineStr">
        <is>
          <t>€5.8k</t>
        </is>
      </c>
      <c r="D74" s="28" t="inlineStr">
        <is>
          <t>€8.2k</t>
        </is>
      </c>
      <c r="E74" s="28" t="inlineStr">
        <is>
          <t>€23.0k</t>
        </is>
      </c>
      <c r="F74" s="28" t="inlineStr">
        <is>
          <t>€27.0k</t>
        </is>
      </c>
      <c r="G74" s="28" t="inlineStr">
        <is>
          <t>€37.0k</t>
        </is>
      </c>
      <c r="H74" s="28" t="inlineStr">
        <is>
          <t>€37.0k</t>
        </is>
      </c>
      <c r="I74" s="28" t="inlineStr">
        <is>
          <t>€41.0k</t>
        </is>
      </c>
      <c r="J74" s="28" t="inlineStr">
        <is>
          <t>€47.0k</t>
        </is>
      </c>
      <c r="K74" s="28" t="inlineStr">
        <is>
          <t>€47.0k</t>
        </is>
      </c>
      <c r="L74" s="26" t="inlineStr">
        <is>
          <t>€273k total</t>
        </is>
      </c>
    </row>
    <row r="76">
      <c r="A76" s="20" t="inlineStr">
        <is>
          <t>DEAL FLOW</t>
        </is>
      </c>
      <c r="B76" s="24" t="inlineStr">
        <is>
          <t>from AE capacity</t>
        </is>
      </c>
    </row>
    <row r="77">
      <c r="A77" s="22" t="inlineStr">
        <is>
          <t>Type</t>
        </is>
      </c>
      <c r="B77" s="22" t="inlineStr"/>
      <c r="C77" s="22" t="inlineStr">
        <is>
          <t>Apr</t>
        </is>
      </c>
      <c r="D77" s="22" t="inlineStr">
        <is>
          <t>May</t>
        </is>
      </c>
      <c r="E77" s="22" t="inlineStr">
        <is>
          <t>Jun</t>
        </is>
      </c>
      <c r="F77" s="22" t="inlineStr">
        <is>
          <t>Jul</t>
        </is>
      </c>
      <c r="G77" s="22" t="inlineStr">
        <is>
          <t>Aug</t>
        </is>
      </c>
      <c r="H77" s="22" t="inlineStr">
        <is>
          <t>Sep</t>
        </is>
      </c>
      <c r="I77" s="22" t="inlineStr">
        <is>
          <t>Oct</t>
        </is>
      </c>
      <c r="J77" s="22" t="inlineStr">
        <is>
          <t>Nov</t>
        </is>
      </c>
      <c r="K77" s="22" t="inlineStr">
        <is>
          <t>Dec</t>
        </is>
      </c>
      <c r="L77" s="22" t="inlineStr">
        <is>
          <t>Total</t>
        </is>
      </c>
    </row>
    <row r="78">
      <c r="A78" s="23" t="inlineStr">
        <is>
          <t>Pilots</t>
        </is>
      </c>
      <c r="B78" s="24" t="inlineStr">
        <is>
          <t>€15K ARR</t>
        </is>
      </c>
      <c r="C78" s="28" t="n">
        <v>1</v>
      </c>
      <c r="D78" s="28" t="n">
        <v>1</v>
      </c>
      <c r="E78" s="28" t="n">
        <v>4</v>
      </c>
      <c r="F78" s="28" t="n">
        <v>4</v>
      </c>
      <c r="G78" s="28" t="n">
        <v>6</v>
      </c>
      <c r="H78" s="28" t="n">
        <v>6</v>
      </c>
      <c r="I78" s="28" t="n">
        <v>7</v>
      </c>
      <c r="J78" s="28" t="n">
        <v>8</v>
      </c>
      <c r="K78" s="28" t="n">
        <v>8</v>
      </c>
      <c r="L78" s="26" t="n">
        <v>45</v>
      </c>
    </row>
    <row r="79">
      <c r="A79" s="23" t="inlineStr">
        <is>
          <t>Medium</t>
        </is>
      </c>
      <c r="B79" s="24" t="inlineStr">
        <is>
          <t>€50K ARR</t>
        </is>
      </c>
      <c r="C79" s="28" t="n">
        <v>0</v>
      </c>
      <c r="D79" s="28" t="n">
        <v>0</v>
      </c>
      <c r="E79" s="28" t="n">
        <v>1</v>
      </c>
      <c r="F79" s="28" t="n">
        <v>1</v>
      </c>
      <c r="G79" s="28" t="n">
        <v>2</v>
      </c>
      <c r="H79" s="28" t="n">
        <v>2</v>
      </c>
      <c r="I79" s="28" t="n">
        <v>2</v>
      </c>
      <c r="J79" s="28" t="n">
        <v>2</v>
      </c>
      <c r="K79" s="28" t="n">
        <v>2</v>
      </c>
      <c r="L79" s="26" t="n">
        <v>12</v>
      </c>
    </row>
    <row r="80">
      <c r="A80" s="23" t="inlineStr">
        <is>
          <t>Large</t>
        </is>
      </c>
      <c r="B80" s="24" t="inlineStr">
        <is>
          <t>€100K ARR</t>
        </is>
      </c>
      <c r="C80" s="28" t="n">
        <v>0</v>
      </c>
      <c r="D80" s="45" t="inlineStr">
        <is>
          <t>1*</t>
        </is>
      </c>
      <c r="E80" s="28" t="n">
        <v>1</v>
      </c>
      <c r="F80" s="28" t="n">
        <v>1</v>
      </c>
      <c r="G80" s="28" t="n">
        <v>1</v>
      </c>
      <c r="H80" s="28" t="n">
        <v>1</v>
      </c>
      <c r="I80" s="28" t="n">
        <v>1</v>
      </c>
      <c r="J80" s="28" t="n">
        <v>1</v>
      </c>
      <c r="K80" s="28" t="n">
        <v>1</v>
      </c>
      <c r="L80" s="26" t="n">
        <v>8</v>
      </c>
    </row>
    <row r="81">
      <c r="A81" s="23" t="inlineStr">
        <is>
          <t>Total deals closing</t>
        </is>
      </c>
      <c r="C81" s="27" t="n">
        <v>1</v>
      </c>
      <c r="D81" s="27" t="n">
        <v>2</v>
      </c>
      <c r="E81" s="27" t="n">
        <v>6</v>
      </c>
      <c r="F81" s="27" t="n">
        <v>6</v>
      </c>
      <c r="G81" s="27" t="n">
        <v>9</v>
      </c>
      <c r="H81" s="27" t="n">
        <v>9</v>
      </c>
      <c r="I81" s="27" t="n">
        <v>10</v>
      </c>
      <c r="J81" s="27" t="n">
        <v>11</v>
      </c>
      <c r="K81" s="27" t="n">
        <v>11</v>
      </c>
      <c r="L81" s="26" t="n">
        <v>65</v>
      </c>
    </row>
    <row r="82">
      <c r="A82" s="24" t="inlineStr">
        <is>
          <t>* = deal already in pipeline (not derived from capacity)</t>
        </is>
      </c>
    </row>
    <row r="84">
      <c r="A84" s="20" t="inlineStr">
        <is>
          <t>PIPELINE NEEDED</t>
        </is>
      </c>
      <c r="B84" s="24" t="inlineStr">
        <is>
          <t>2-mo cycle</t>
        </is>
      </c>
    </row>
    <row r="85">
      <c r="A85" s="22" t="inlineStr">
        <is>
          <t>Metric</t>
        </is>
      </c>
      <c r="B85" s="22" t="inlineStr"/>
      <c r="C85" s="22" t="inlineStr">
        <is>
          <t>Feb</t>
        </is>
      </c>
      <c r="D85" s="22" t="inlineStr">
        <is>
          <t>Mar</t>
        </is>
      </c>
      <c r="E85" s="22" t="inlineStr">
        <is>
          <t>Apr</t>
        </is>
      </c>
      <c r="F85" s="22" t="inlineStr">
        <is>
          <t>May</t>
        </is>
      </c>
      <c r="G85" s="22" t="inlineStr">
        <is>
          <t>Jun</t>
        </is>
      </c>
      <c r="H85" s="22" t="inlineStr">
        <is>
          <t>Jul</t>
        </is>
      </c>
      <c r="I85" s="22" t="inlineStr">
        <is>
          <t>Aug</t>
        </is>
      </c>
      <c r="J85" s="22" t="inlineStr">
        <is>
          <t>Sep</t>
        </is>
      </c>
      <c r="K85" s="22" t="inlineStr">
        <is>
          <t>Oct</t>
        </is>
      </c>
      <c r="L85" s="22" t="inlineStr">
        <is>
          <t>Nov</t>
        </is>
      </c>
      <c r="M85" s="22" t="inlineStr">
        <is>
          <t>Dec</t>
        </is>
      </c>
      <c r="N85" s="22" t="inlineStr">
        <is>
          <t>Total</t>
        </is>
      </c>
    </row>
    <row r="86">
      <c r="A86" s="23" t="inlineStr">
        <is>
          <t>Deals closing</t>
        </is>
      </c>
      <c r="B86" s="24" t="inlineStr">
        <is>
          <t>when they close</t>
        </is>
      </c>
      <c r="C86" s="30" t="inlineStr">
        <is>
          <t>-</t>
        </is>
      </c>
      <c r="D86" s="30" t="inlineStr">
        <is>
          <t>-</t>
        </is>
      </c>
      <c r="E86" s="30" t="n">
        <v>1</v>
      </c>
      <c r="F86" s="30" t="n">
        <v>2</v>
      </c>
      <c r="G86" s="30" t="n">
        <v>6</v>
      </c>
      <c r="H86" s="30" t="n">
        <v>6</v>
      </c>
      <c r="I86" s="30" t="n">
        <v>9</v>
      </c>
      <c r="J86" s="30" t="n">
        <v>9</v>
      </c>
      <c r="K86" s="30" t="n">
        <v>10</v>
      </c>
      <c r="L86" s="30" t="n">
        <v>11</v>
      </c>
      <c r="M86" s="30" t="n">
        <v>11</v>
      </c>
      <c r="N86" s="29" t="n">
        <v>65</v>
      </c>
    </row>
    <row r="87">
      <c r="A87" s="23" t="inlineStr">
        <is>
          <t>SQLs needed</t>
        </is>
      </c>
      <c r="B87" s="24" t="inlineStr">
        <is>
          <t>when to generate</t>
        </is>
      </c>
      <c r="C87" s="43" t="n">
        <v>10</v>
      </c>
      <c r="D87" s="43" t="n">
        <v>20</v>
      </c>
      <c r="E87" s="43" t="n">
        <v>60</v>
      </c>
      <c r="F87" s="43" t="n">
        <v>60</v>
      </c>
      <c r="G87" s="43" t="n">
        <v>90</v>
      </c>
      <c r="H87" s="43" t="n">
        <v>90</v>
      </c>
      <c r="I87" s="43" t="n">
        <v>100</v>
      </c>
      <c r="J87" s="43" t="n">
        <v>110</v>
      </c>
      <c r="K87" s="43" t="n">
        <v>110</v>
      </c>
      <c r="L87" s="43" t="inlineStr">
        <is>
          <t>-</t>
        </is>
      </c>
      <c r="M87" s="43" t="inlineStr">
        <is>
          <t>-</t>
        </is>
      </c>
      <c r="N87" s="44" t="n">
        <v>650</v>
      </c>
    </row>
    <row r="89">
      <c r="A89" s="20" t="inlineStr">
        <is>
          <t>ARR WATERFALL</t>
        </is>
      </c>
    </row>
    <row r="90">
      <c r="A90" s="22" t="inlineStr">
        <is>
          <t>Source</t>
        </is>
      </c>
      <c r="B90" s="22" t="inlineStr"/>
      <c r="C90" s="22" t="inlineStr">
        <is>
          <t>Apr</t>
        </is>
      </c>
      <c r="D90" s="22" t="inlineStr">
        <is>
          <t>May</t>
        </is>
      </c>
      <c r="E90" s="22" t="inlineStr">
        <is>
          <t>Jun</t>
        </is>
      </c>
      <c r="F90" s="22" t="inlineStr">
        <is>
          <t>Jul</t>
        </is>
      </c>
      <c r="G90" s="22" t="inlineStr">
        <is>
          <t>Aug</t>
        </is>
      </c>
      <c r="H90" s="22" t="inlineStr">
        <is>
          <t>Sep</t>
        </is>
      </c>
      <c r="I90" s="22" t="inlineStr">
        <is>
          <t>Oct</t>
        </is>
      </c>
      <c r="J90" s="22" t="inlineStr">
        <is>
          <t>Nov</t>
        </is>
      </c>
      <c r="K90" s="22" t="inlineStr">
        <is>
          <t>Dec</t>
        </is>
      </c>
      <c r="L90" s="22" t="inlineStr">
        <is>
          <t>Total</t>
        </is>
      </c>
    </row>
    <row r="91">
      <c r="A91" s="23" t="inlineStr">
        <is>
          <t>New deal ARR /mo</t>
        </is>
      </c>
      <c r="C91" s="30" t="inlineStr">
        <is>
          <t>€15k</t>
        </is>
      </c>
      <c r="D91" s="30" t="inlineStr">
        <is>
          <t>€115k</t>
        </is>
      </c>
      <c r="E91" s="30" t="inlineStr">
        <is>
          <t>€210k</t>
        </is>
      </c>
      <c r="F91" s="30" t="inlineStr">
        <is>
          <t>€210k</t>
        </is>
      </c>
      <c r="G91" s="30" t="inlineStr">
        <is>
          <t>€290k</t>
        </is>
      </c>
      <c r="H91" s="30" t="inlineStr">
        <is>
          <t>€290k</t>
        </is>
      </c>
      <c r="I91" s="30" t="inlineStr">
        <is>
          <t>€305k</t>
        </is>
      </c>
      <c r="J91" s="30" t="inlineStr">
        <is>
          <t>€320k</t>
        </is>
      </c>
      <c r="K91" s="30" t="inlineStr">
        <is>
          <t>€320k</t>
        </is>
      </c>
      <c r="L91" s="29" t="inlineStr">
        <is>
          <t>€2.08M</t>
        </is>
      </c>
    </row>
    <row r="92">
      <c r="A92" s="23" t="inlineStr">
        <is>
          <t>Cum. new deal ARR</t>
        </is>
      </c>
      <c r="B92" s="24">
        <f> €2M target</f>
        <v/>
      </c>
      <c r="C92" s="38" t="inlineStr">
        <is>
          <t>€15k</t>
        </is>
      </c>
      <c r="D92" s="38" t="inlineStr">
        <is>
          <t>€130k</t>
        </is>
      </c>
      <c r="E92" s="38" t="inlineStr">
        <is>
          <t>€340k</t>
        </is>
      </c>
      <c r="F92" s="38" t="inlineStr">
        <is>
          <t>€550k</t>
        </is>
      </c>
      <c r="G92" s="38" t="inlineStr">
        <is>
          <t>€840k</t>
        </is>
      </c>
      <c r="H92" s="38" t="inlineStr">
        <is>
          <t>€1.13M</t>
        </is>
      </c>
      <c r="I92" s="38" t="inlineStr">
        <is>
          <t>€1.44M</t>
        </is>
      </c>
      <c r="J92" s="38" t="inlineStr">
        <is>
          <t>€1.75M</t>
        </is>
      </c>
      <c r="K92" s="38" t="inlineStr">
        <is>
          <t>€2.08M</t>
        </is>
      </c>
      <c r="L92" s="41" t="inlineStr">
        <is>
          <t>€2.08M</t>
        </is>
      </c>
    </row>
    <row r="93">
      <c r="A93" s="23" t="inlineStr">
        <is>
          <t>Expansion /mo</t>
        </is>
      </c>
      <c r="B93" s="24" t="inlineStr">
        <is>
          <t>upside</t>
        </is>
      </c>
      <c r="C93" s="34" t="inlineStr">
        <is>
          <t>-</t>
        </is>
      </c>
      <c r="D93" s="34" t="inlineStr">
        <is>
          <t>-</t>
        </is>
      </c>
      <c r="E93" s="34" t="inlineStr">
        <is>
          <t>-</t>
        </is>
      </c>
      <c r="F93" s="34" t="inlineStr">
        <is>
          <t>-</t>
        </is>
      </c>
      <c r="G93" s="34" t="inlineStr">
        <is>
          <t>-</t>
        </is>
      </c>
      <c r="H93" s="34" t="inlineStr">
        <is>
          <t>-</t>
        </is>
      </c>
      <c r="I93" s="34" t="inlineStr">
        <is>
          <t>-</t>
        </is>
      </c>
      <c r="J93" s="34" t="inlineStr">
        <is>
          <t>€70k</t>
        </is>
      </c>
      <c r="K93" s="34" t="inlineStr">
        <is>
          <t>€70k</t>
        </is>
      </c>
      <c r="L93" s="42" t="inlineStr">
        <is>
          <t>+€140k</t>
        </is>
      </c>
    </row>
    <row r="94">
      <c r="A94" s="23" t="inlineStr">
        <is>
          <t>Total ARR</t>
        </is>
      </c>
      <c r="C94" s="35" t="inlineStr">
        <is>
          <t>€15k</t>
        </is>
      </c>
      <c r="D94" s="35" t="inlineStr">
        <is>
          <t>€130k</t>
        </is>
      </c>
      <c r="E94" s="35" t="inlineStr">
        <is>
          <t>€340k</t>
        </is>
      </c>
      <c r="F94" s="35" t="inlineStr">
        <is>
          <t>€550k</t>
        </is>
      </c>
      <c r="G94" s="35" t="inlineStr">
        <is>
          <t>€840k</t>
        </is>
      </c>
      <c r="H94" s="35" t="inlineStr">
        <is>
          <t>€1.13M</t>
        </is>
      </c>
      <c r="I94" s="35" t="inlineStr">
        <is>
          <t>€1.44M</t>
        </is>
      </c>
      <c r="J94" s="35" t="inlineStr">
        <is>
          <t>€1.82M</t>
        </is>
      </c>
      <c r="K94" s="35" t="inlineStr">
        <is>
          <t>€2.21M</t>
        </is>
      </c>
      <c r="L94" s="36" t="inlineStr">
        <is>
          <t>€2.21M</t>
        </is>
      </c>
    </row>
    <row r="96">
      <c r="A96" s="20" t="inlineStr">
        <is>
          <t>BDR FUNNEL</t>
        </is>
      </c>
    </row>
    <row r="97">
      <c r="A97" s="18" t="inlineStr">
        <is>
          <t>65 deals ÷ 10% = 650 meetings over 9 months</t>
        </is>
      </c>
    </row>
    <row r="98">
      <c r="A98" s="18">
        <f> 73/mo − 15 from SMB BDRs = 58 from dedicated BDRs</f>
        <v/>
      </c>
    </row>
    <row r="99">
      <c r="A99" s="37" t="inlineStr">
        <is>
          <t>58/mo ÷ 15/BDR = 4 dedicated MM BDRs needed</t>
        </is>
      </c>
    </row>
    <row r="102">
      <c r="A102" s="17" t="inlineStr">
        <is>
          <t>SCENARIO 3: HYPER-PUSH</t>
        </is>
      </c>
    </row>
    <row r="103">
      <c r="A103" s="19" t="inlineStr">
        <is>
          <t>Build the €3M machine — staff it like a proven motion</t>
        </is>
      </c>
    </row>
    <row r="105">
      <c r="A105" s="20" t="inlineStr">
        <is>
          <t>NARRATIVE</t>
        </is>
      </c>
    </row>
    <row r="106">
      <c r="A106" s="21" t="inlineStr">
        <is>
          <t>Maximum conviction. Victor goes full-time in May (one month early). The May large deal anchors Q2 at €100K+. First new AE in June, two more in July, two more in September, another in November. Martijn stays at 0.5 FTE throughout. BDR team scales to 6 by Q4. Combined with SMB spillover, we're generating 115+ MM meetings/month by October.</t>
        </is>
      </c>
    </row>
    <row r="107">
      <c r="A107" s="21" t="inlineStr">
        <is>
          <t>This requires an MM team lead by August — someone who can run pipeline reviews, maintain process quality across 7+ AEs, and own the weekly forecast. Without that hire, AE variance will kill the model. We also need solutioning capacity for 3+ large deals in parallel by Q4.</t>
        </is>
      </c>
    </row>
    <row r="108">
      <c r="A108" s="21" t="inlineStr">
        <is>
          <t>Risk profile: HIGH. Monthly burn hits €62K by December. Total 9-month cost: ~€385K. But the output targets €3.3M new deal ARR + expansion. That's a 9x return on the hiring investment and puts MM on track for a €5M+ run-rate entering 2027.</t>
        </is>
      </c>
    </row>
    <row r="110">
      <c r="A110" s="20" t="inlineStr">
        <is>
          <t>HEADCOUNT</t>
        </is>
      </c>
    </row>
    <row r="111">
      <c r="A111" s="22" t="inlineStr">
        <is>
          <t>Role</t>
        </is>
      </c>
      <c r="B111" s="22" t="inlineStr">
        <is>
          <t>Type</t>
        </is>
      </c>
      <c r="C111" s="22" t="inlineStr">
        <is>
          <t>Apr</t>
        </is>
      </c>
      <c r="D111" s="22" t="inlineStr">
        <is>
          <t>May</t>
        </is>
      </c>
      <c r="E111" s="22" t="inlineStr">
        <is>
          <t>Jun</t>
        </is>
      </c>
      <c r="F111" s="22" t="inlineStr">
        <is>
          <t>Jul</t>
        </is>
      </c>
      <c r="G111" s="22" t="inlineStr">
        <is>
          <t>Aug</t>
        </is>
      </c>
      <c r="H111" s="22" t="inlineStr">
        <is>
          <t>Sep</t>
        </is>
      </c>
      <c r="I111" s="22" t="inlineStr">
        <is>
          <t>Oct</t>
        </is>
      </c>
      <c r="J111" s="22" t="inlineStr">
        <is>
          <t>Nov</t>
        </is>
      </c>
      <c r="K111" s="22" t="inlineStr">
        <is>
          <t>Dec</t>
        </is>
      </c>
      <c r="L111" s="22" t="inlineStr">
        <is>
          <t>Peak</t>
        </is>
      </c>
    </row>
    <row r="112">
      <c r="A112" s="23" t="inlineStr">
        <is>
          <t>AEs (ramped)</t>
        </is>
      </c>
      <c r="B112" s="24" t="inlineStr">
        <is>
          <t>FTE</t>
        </is>
      </c>
      <c r="C112" s="25" t="n">
        <v>0.7</v>
      </c>
      <c r="D112" s="25" t="n">
        <v>1.5</v>
      </c>
      <c r="E112" s="25" t="n">
        <v>1.5</v>
      </c>
      <c r="F112" s="25" t="n">
        <v>1.5</v>
      </c>
      <c r="G112" s="25" t="n">
        <v>1.5</v>
      </c>
      <c r="H112" s="25" t="n">
        <v>1.5</v>
      </c>
      <c r="I112" s="25" t="n">
        <v>1.5</v>
      </c>
      <c r="J112" s="25" t="n">
        <v>1.5</v>
      </c>
      <c r="K112" s="25" t="n">
        <v>1.5</v>
      </c>
      <c r="L112" s="26" t="n">
        <v>1.5</v>
      </c>
    </row>
    <row r="113">
      <c r="A113" s="23" t="inlineStr">
        <is>
          <t>AEs (new hires)</t>
        </is>
      </c>
      <c r="B113" s="24" t="inlineStr">
        <is>
          <t>cumulative</t>
        </is>
      </c>
      <c r="C113" s="25" t="n">
        <v>0</v>
      </c>
      <c r="D113" s="25" t="n">
        <v>0</v>
      </c>
      <c r="E113" s="25" t="n">
        <v>1</v>
      </c>
      <c r="F113" s="25" t="n">
        <v>3</v>
      </c>
      <c r="G113" s="25" t="n">
        <v>3</v>
      </c>
      <c r="H113" s="25" t="n">
        <v>5</v>
      </c>
      <c r="I113" s="25" t="n">
        <v>5</v>
      </c>
      <c r="J113" s="25" t="n">
        <v>6</v>
      </c>
      <c r="K113" s="25" t="n">
        <v>6</v>
      </c>
      <c r="L113" s="26" t="n">
        <v>6</v>
      </c>
    </row>
    <row r="114">
      <c r="A114" s="23" t="inlineStr">
        <is>
          <t>Effective AEs</t>
        </is>
      </c>
      <c r="B114" s="24" t="inlineStr">
        <is>
          <t>incl. ramp</t>
        </is>
      </c>
      <c r="C114" s="27" t="inlineStr">
        <is>
          <t>0.7</t>
        </is>
      </c>
      <c r="D114" s="27" t="inlineStr">
        <is>
          <t>1.5</t>
        </is>
      </c>
      <c r="E114" s="27" t="inlineStr">
        <is>
          <t>2.0</t>
        </is>
      </c>
      <c r="F114" s="27" t="inlineStr">
        <is>
          <t>3.2</t>
        </is>
      </c>
      <c r="G114" s="27" t="inlineStr">
        <is>
          <t>4.0</t>
        </is>
      </c>
      <c r="H114" s="27" t="inlineStr">
        <is>
          <t>5.5</t>
        </is>
      </c>
      <c r="I114" s="27" t="inlineStr">
        <is>
          <t>6.0</t>
        </is>
      </c>
      <c r="J114" s="27" t="inlineStr">
        <is>
          <t>7.0</t>
        </is>
      </c>
      <c r="K114" s="27" t="inlineStr">
        <is>
          <t>7.2</t>
        </is>
      </c>
      <c r="L114" s="26" t="inlineStr">
        <is>
          <t>7.2</t>
        </is>
      </c>
    </row>
    <row r="115">
      <c r="A115" s="23" t="inlineStr">
        <is>
          <t>BDRs (dedicated)</t>
        </is>
      </c>
      <c r="B115" s="24" t="inlineStr">
        <is>
          <t>FTE</t>
        </is>
      </c>
      <c r="C115" s="25" t="n">
        <v>0.4</v>
      </c>
      <c r="D115" s="25" t="n">
        <v>1</v>
      </c>
      <c r="E115" s="25" t="n">
        <v>2</v>
      </c>
      <c r="F115" s="25" t="n">
        <v>3</v>
      </c>
      <c r="G115" s="25" t="n">
        <v>4</v>
      </c>
      <c r="H115" s="25" t="n">
        <v>5</v>
      </c>
      <c r="I115" s="25" t="n">
        <v>6</v>
      </c>
      <c r="J115" s="25" t="n">
        <v>6</v>
      </c>
      <c r="K115" s="25" t="n">
        <v>6</v>
      </c>
      <c r="L115" s="26" t="n">
        <v>6</v>
      </c>
    </row>
    <row r="116">
      <c r="A116" s="23" t="inlineStr">
        <is>
          <t>Total headcount</t>
        </is>
      </c>
      <c r="C116" s="27" t="inlineStr">
        <is>
          <t>1.1</t>
        </is>
      </c>
      <c r="D116" s="27" t="inlineStr">
        <is>
          <t>2.5</t>
        </is>
      </c>
      <c r="E116" s="27" t="inlineStr">
        <is>
          <t>4.5</t>
        </is>
      </c>
      <c r="F116" s="27" t="inlineStr">
        <is>
          <t>7.5</t>
        </is>
      </c>
      <c r="G116" s="27" t="inlineStr">
        <is>
          <t>8.5</t>
        </is>
      </c>
      <c r="H116" s="27" t="inlineStr">
        <is>
          <t>11.5</t>
        </is>
      </c>
      <c r="I116" s="27" t="inlineStr">
        <is>
          <t>12.5</t>
        </is>
      </c>
      <c r="J116" s="27" t="inlineStr">
        <is>
          <t>13.5</t>
        </is>
      </c>
      <c r="K116" s="27" t="inlineStr">
        <is>
          <t>13.5</t>
        </is>
      </c>
      <c r="L116" s="26" t="inlineStr">
        <is>
          <t>14</t>
        </is>
      </c>
    </row>
    <row r="117">
      <c r="A117" s="23" t="inlineStr">
        <is>
          <t>Monthly cost</t>
        </is>
      </c>
      <c r="C117" s="28" t="inlineStr">
        <is>
          <t>€5.8k</t>
        </is>
      </c>
      <c r="D117" s="28" t="inlineStr">
        <is>
          <t>€13.0k</t>
        </is>
      </c>
      <c r="E117" s="28" t="inlineStr">
        <is>
          <t>€23.0k</t>
        </is>
      </c>
      <c r="F117" s="28" t="inlineStr">
        <is>
          <t>€39.0k</t>
        </is>
      </c>
      <c r="G117" s="28" t="inlineStr">
        <is>
          <t>€43.0k</t>
        </is>
      </c>
      <c r="H117" s="28" t="inlineStr">
        <is>
          <t>€59.0k</t>
        </is>
      </c>
      <c r="I117" s="28" t="inlineStr">
        <is>
          <t>€63.0k</t>
        </is>
      </c>
      <c r="J117" s="28" t="inlineStr">
        <is>
          <t>€69.0k</t>
        </is>
      </c>
      <c r="K117" s="28" t="inlineStr">
        <is>
          <t>€69.0k</t>
        </is>
      </c>
      <c r="L117" s="26" t="inlineStr">
        <is>
          <t>€384k total</t>
        </is>
      </c>
    </row>
    <row r="119">
      <c r="A119" s="20" t="inlineStr">
        <is>
          <t>DEAL FLOW</t>
        </is>
      </c>
      <c r="B119" s="24" t="inlineStr">
        <is>
          <t>from AE capacity</t>
        </is>
      </c>
    </row>
    <row r="120">
      <c r="A120" s="22" t="inlineStr">
        <is>
          <t>Type</t>
        </is>
      </c>
      <c r="B120" s="22" t="inlineStr"/>
      <c r="C120" s="22" t="inlineStr">
        <is>
          <t>Apr</t>
        </is>
      </c>
      <c r="D120" s="22" t="inlineStr">
        <is>
          <t>May</t>
        </is>
      </c>
      <c r="E120" s="22" t="inlineStr">
        <is>
          <t>Jun</t>
        </is>
      </c>
      <c r="F120" s="22" t="inlineStr">
        <is>
          <t>Jul</t>
        </is>
      </c>
      <c r="G120" s="22" t="inlineStr">
        <is>
          <t>Aug</t>
        </is>
      </c>
      <c r="H120" s="22" t="inlineStr">
        <is>
          <t>Sep</t>
        </is>
      </c>
      <c r="I120" s="22" t="inlineStr">
        <is>
          <t>Oct</t>
        </is>
      </c>
      <c r="J120" s="22" t="inlineStr">
        <is>
          <t>Nov</t>
        </is>
      </c>
      <c r="K120" s="22" t="inlineStr">
        <is>
          <t>Dec</t>
        </is>
      </c>
      <c r="L120" s="22" t="inlineStr">
        <is>
          <t>Total</t>
        </is>
      </c>
    </row>
    <row r="121">
      <c r="A121" s="23" t="inlineStr">
        <is>
          <t>Pilots</t>
        </is>
      </c>
      <c r="B121" s="24" t="inlineStr">
        <is>
          <t>€15K ARR</t>
        </is>
      </c>
      <c r="C121" s="28" t="n">
        <v>1</v>
      </c>
      <c r="D121" s="28" t="n">
        <v>3</v>
      </c>
      <c r="E121" s="28" t="n">
        <v>4</v>
      </c>
      <c r="F121" s="28" t="n">
        <v>6</v>
      </c>
      <c r="G121" s="28" t="n">
        <v>8</v>
      </c>
      <c r="H121" s="28" t="n">
        <v>11</v>
      </c>
      <c r="I121" s="28" t="n">
        <v>12</v>
      </c>
      <c r="J121" s="28" t="n">
        <v>14</v>
      </c>
      <c r="K121" s="28" t="n">
        <v>14</v>
      </c>
      <c r="L121" s="26" t="n">
        <v>73</v>
      </c>
    </row>
    <row r="122">
      <c r="A122" s="23" t="inlineStr">
        <is>
          <t>Medium</t>
        </is>
      </c>
      <c r="B122" s="24" t="inlineStr">
        <is>
          <t>€50K ARR</t>
        </is>
      </c>
      <c r="C122" s="28" t="n">
        <v>0</v>
      </c>
      <c r="D122" s="28" t="n">
        <v>1</v>
      </c>
      <c r="E122" s="28" t="n">
        <v>1</v>
      </c>
      <c r="F122" s="28" t="n">
        <v>2</v>
      </c>
      <c r="G122" s="28" t="n">
        <v>2</v>
      </c>
      <c r="H122" s="28" t="n">
        <v>3</v>
      </c>
      <c r="I122" s="28" t="n">
        <v>3</v>
      </c>
      <c r="J122" s="28" t="n">
        <v>4</v>
      </c>
      <c r="K122" s="28" t="n">
        <v>4</v>
      </c>
      <c r="L122" s="26" t="n">
        <v>20</v>
      </c>
    </row>
    <row r="123">
      <c r="A123" s="23" t="inlineStr">
        <is>
          <t>Large</t>
        </is>
      </c>
      <c r="B123" s="24" t="inlineStr">
        <is>
          <t>€100K ARR</t>
        </is>
      </c>
      <c r="C123" s="28" t="n">
        <v>0</v>
      </c>
      <c r="D123" s="45" t="inlineStr">
        <is>
          <t>1*</t>
        </is>
      </c>
      <c r="E123" s="28" t="n">
        <v>1</v>
      </c>
      <c r="F123" s="28" t="n">
        <v>1</v>
      </c>
      <c r="G123" s="28" t="n">
        <v>1</v>
      </c>
      <c r="H123" s="28" t="n">
        <v>2</v>
      </c>
      <c r="I123" s="28" t="n">
        <v>2</v>
      </c>
      <c r="J123" s="28" t="n">
        <v>2</v>
      </c>
      <c r="K123" s="28" t="n">
        <v>2</v>
      </c>
      <c r="L123" s="26" t="n">
        <v>12</v>
      </c>
    </row>
    <row r="124">
      <c r="A124" s="23" t="inlineStr">
        <is>
          <t>Total deals closing</t>
        </is>
      </c>
      <c r="C124" s="27" t="n">
        <v>1</v>
      </c>
      <c r="D124" s="27" t="n">
        <v>5</v>
      </c>
      <c r="E124" s="27" t="n">
        <v>6</v>
      </c>
      <c r="F124" s="27" t="n">
        <v>9</v>
      </c>
      <c r="G124" s="27" t="n">
        <v>11</v>
      </c>
      <c r="H124" s="27" t="n">
        <v>16</v>
      </c>
      <c r="I124" s="27" t="n">
        <v>17</v>
      </c>
      <c r="J124" s="27" t="n">
        <v>20</v>
      </c>
      <c r="K124" s="27" t="n">
        <v>20</v>
      </c>
      <c r="L124" s="26" t="n">
        <v>105</v>
      </c>
    </row>
    <row r="125">
      <c r="A125" s="24" t="inlineStr">
        <is>
          <t>* = deal already in pipeline (not derived from capacity)</t>
        </is>
      </c>
    </row>
    <row r="127">
      <c r="A127" s="20" t="inlineStr">
        <is>
          <t>PIPELINE NEEDED</t>
        </is>
      </c>
      <c r="B127" s="24" t="inlineStr">
        <is>
          <t>2-mo cycle</t>
        </is>
      </c>
    </row>
    <row r="128">
      <c r="A128" s="22" t="inlineStr">
        <is>
          <t>Metric</t>
        </is>
      </c>
      <c r="B128" s="22" t="inlineStr"/>
      <c r="C128" s="22" t="inlineStr">
        <is>
          <t>Feb</t>
        </is>
      </c>
      <c r="D128" s="22" t="inlineStr">
        <is>
          <t>Mar</t>
        </is>
      </c>
      <c r="E128" s="22" t="inlineStr">
        <is>
          <t>Apr</t>
        </is>
      </c>
      <c r="F128" s="22" t="inlineStr">
        <is>
          <t>May</t>
        </is>
      </c>
      <c r="G128" s="22" t="inlineStr">
        <is>
          <t>Jun</t>
        </is>
      </c>
      <c r="H128" s="22" t="inlineStr">
        <is>
          <t>Jul</t>
        </is>
      </c>
      <c r="I128" s="22" t="inlineStr">
        <is>
          <t>Aug</t>
        </is>
      </c>
      <c r="J128" s="22" t="inlineStr">
        <is>
          <t>Sep</t>
        </is>
      </c>
      <c r="K128" s="22" t="inlineStr">
        <is>
          <t>Oct</t>
        </is>
      </c>
      <c r="L128" s="22" t="inlineStr">
        <is>
          <t>Nov</t>
        </is>
      </c>
      <c r="M128" s="22" t="inlineStr">
        <is>
          <t>Dec</t>
        </is>
      </c>
      <c r="N128" s="22" t="inlineStr">
        <is>
          <t>Total</t>
        </is>
      </c>
    </row>
    <row r="129">
      <c r="A129" s="23" t="inlineStr">
        <is>
          <t>Deals closing</t>
        </is>
      </c>
      <c r="B129" s="24" t="inlineStr">
        <is>
          <t>when they close</t>
        </is>
      </c>
      <c r="C129" s="30" t="inlineStr">
        <is>
          <t>-</t>
        </is>
      </c>
      <c r="D129" s="30" t="inlineStr">
        <is>
          <t>-</t>
        </is>
      </c>
      <c r="E129" s="30" t="n">
        <v>1</v>
      </c>
      <c r="F129" s="30" t="n">
        <v>5</v>
      </c>
      <c r="G129" s="30" t="n">
        <v>6</v>
      </c>
      <c r="H129" s="30" t="n">
        <v>9</v>
      </c>
      <c r="I129" s="30" t="n">
        <v>11</v>
      </c>
      <c r="J129" s="30" t="n">
        <v>16</v>
      </c>
      <c r="K129" s="30" t="n">
        <v>17</v>
      </c>
      <c r="L129" s="30" t="n">
        <v>20</v>
      </c>
      <c r="M129" s="30" t="n">
        <v>20</v>
      </c>
      <c r="N129" s="29" t="n">
        <v>105</v>
      </c>
    </row>
    <row r="130">
      <c r="A130" s="23" t="inlineStr">
        <is>
          <t>SQLs needed</t>
        </is>
      </c>
      <c r="B130" s="24" t="inlineStr">
        <is>
          <t>when to generate</t>
        </is>
      </c>
      <c r="C130" s="43" t="n">
        <v>10</v>
      </c>
      <c r="D130" s="43" t="n">
        <v>50</v>
      </c>
      <c r="E130" s="43" t="n">
        <v>60</v>
      </c>
      <c r="F130" s="43" t="n">
        <v>90</v>
      </c>
      <c r="G130" s="43" t="n">
        <v>110</v>
      </c>
      <c r="H130" s="43" t="n">
        <v>160</v>
      </c>
      <c r="I130" s="43" t="n">
        <v>170</v>
      </c>
      <c r="J130" s="43" t="n">
        <v>200</v>
      </c>
      <c r="K130" s="43" t="n">
        <v>200</v>
      </c>
      <c r="L130" s="43" t="inlineStr">
        <is>
          <t>-</t>
        </is>
      </c>
      <c r="M130" s="43" t="inlineStr">
        <is>
          <t>-</t>
        </is>
      </c>
      <c r="N130" s="44" t="n">
        <v>1050</v>
      </c>
    </row>
    <row r="132">
      <c r="A132" s="20" t="inlineStr">
        <is>
          <t>ARR WATERFALL</t>
        </is>
      </c>
    </row>
    <row r="133">
      <c r="A133" s="22" t="inlineStr">
        <is>
          <t>Source</t>
        </is>
      </c>
      <c r="B133" s="22" t="inlineStr"/>
      <c r="C133" s="22" t="inlineStr">
        <is>
          <t>Apr</t>
        </is>
      </c>
      <c r="D133" s="22" t="inlineStr">
        <is>
          <t>May</t>
        </is>
      </c>
      <c r="E133" s="22" t="inlineStr">
        <is>
          <t>Jun</t>
        </is>
      </c>
      <c r="F133" s="22" t="inlineStr">
        <is>
          <t>Jul</t>
        </is>
      </c>
      <c r="G133" s="22" t="inlineStr">
        <is>
          <t>Aug</t>
        </is>
      </c>
      <c r="H133" s="22" t="inlineStr">
        <is>
          <t>Sep</t>
        </is>
      </c>
      <c r="I133" s="22" t="inlineStr">
        <is>
          <t>Oct</t>
        </is>
      </c>
      <c r="J133" s="22" t="inlineStr">
        <is>
          <t>Nov</t>
        </is>
      </c>
      <c r="K133" s="22" t="inlineStr">
        <is>
          <t>Dec</t>
        </is>
      </c>
      <c r="L133" s="22" t="inlineStr">
        <is>
          <t>Total</t>
        </is>
      </c>
    </row>
    <row r="134">
      <c r="A134" s="23" t="inlineStr">
        <is>
          <t>New deal ARR /mo</t>
        </is>
      </c>
      <c r="C134" s="30" t="inlineStr">
        <is>
          <t>€15k</t>
        </is>
      </c>
      <c r="D134" s="30" t="inlineStr">
        <is>
          <t>€195k</t>
        </is>
      </c>
      <c r="E134" s="30" t="inlineStr">
        <is>
          <t>€210k</t>
        </is>
      </c>
      <c r="F134" s="30" t="inlineStr">
        <is>
          <t>€290k</t>
        </is>
      </c>
      <c r="G134" s="30" t="inlineStr">
        <is>
          <t>€320k</t>
        </is>
      </c>
      <c r="H134" s="30" t="inlineStr">
        <is>
          <t>€515k</t>
        </is>
      </c>
      <c r="I134" s="30" t="inlineStr">
        <is>
          <t>€530k</t>
        </is>
      </c>
      <c r="J134" s="30" t="inlineStr">
        <is>
          <t>€610k</t>
        </is>
      </c>
      <c r="K134" s="30" t="inlineStr">
        <is>
          <t>€610k</t>
        </is>
      </c>
      <c r="L134" s="29" t="inlineStr">
        <is>
          <t>€3.29M</t>
        </is>
      </c>
    </row>
    <row r="135">
      <c r="A135" s="23" t="inlineStr">
        <is>
          <t>Cum. new deal ARR</t>
        </is>
      </c>
      <c r="B135" s="24">
        <f> €2M target</f>
        <v/>
      </c>
      <c r="C135" s="38" t="inlineStr">
        <is>
          <t>€15k</t>
        </is>
      </c>
      <c r="D135" s="38" t="inlineStr">
        <is>
          <t>€210k</t>
        </is>
      </c>
      <c r="E135" s="38" t="inlineStr">
        <is>
          <t>€420k</t>
        </is>
      </c>
      <c r="F135" s="38" t="inlineStr">
        <is>
          <t>€710k</t>
        </is>
      </c>
      <c r="G135" s="38" t="inlineStr">
        <is>
          <t>€1.03M</t>
        </is>
      </c>
      <c r="H135" s="38" t="inlineStr">
        <is>
          <t>€1.54M</t>
        </is>
      </c>
      <c r="I135" s="38" t="inlineStr">
        <is>
          <t>€2.08M</t>
        </is>
      </c>
      <c r="J135" s="38" t="inlineStr">
        <is>
          <t>€2.69M</t>
        </is>
      </c>
      <c r="K135" s="38" t="inlineStr">
        <is>
          <t>€3.29M</t>
        </is>
      </c>
      <c r="L135" s="41" t="inlineStr">
        <is>
          <t>€3.29M</t>
        </is>
      </c>
    </row>
    <row r="136">
      <c r="A136" s="23" t="inlineStr">
        <is>
          <t>Expansion /mo</t>
        </is>
      </c>
      <c r="B136" s="24" t="inlineStr">
        <is>
          <t>upside</t>
        </is>
      </c>
      <c r="C136" s="34" t="inlineStr">
        <is>
          <t>-</t>
        </is>
      </c>
      <c r="D136" s="34" t="inlineStr">
        <is>
          <t>-</t>
        </is>
      </c>
      <c r="E136" s="34" t="inlineStr">
        <is>
          <t>-</t>
        </is>
      </c>
      <c r="F136" s="34" t="inlineStr">
        <is>
          <t>-</t>
        </is>
      </c>
      <c r="G136" s="34" t="inlineStr">
        <is>
          <t>-</t>
        </is>
      </c>
      <c r="H136" s="34" t="inlineStr">
        <is>
          <t>-</t>
        </is>
      </c>
      <c r="I136" s="34" t="inlineStr">
        <is>
          <t>€35k</t>
        </is>
      </c>
      <c r="J136" s="34" t="inlineStr">
        <is>
          <t>€70k</t>
        </is>
      </c>
      <c r="K136" s="34" t="inlineStr">
        <is>
          <t>€155k</t>
        </is>
      </c>
      <c r="L136" s="42" t="inlineStr">
        <is>
          <t>+€260k</t>
        </is>
      </c>
    </row>
    <row r="137">
      <c r="A137" s="23" t="inlineStr">
        <is>
          <t>Total ARR</t>
        </is>
      </c>
      <c r="C137" s="35" t="inlineStr">
        <is>
          <t>€15k</t>
        </is>
      </c>
      <c r="D137" s="35" t="inlineStr">
        <is>
          <t>€210k</t>
        </is>
      </c>
      <c r="E137" s="35" t="inlineStr">
        <is>
          <t>€420k</t>
        </is>
      </c>
      <c r="F137" s="35" t="inlineStr">
        <is>
          <t>€710k</t>
        </is>
      </c>
      <c r="G137" s="35" t="inlineStr">
        <is>
          <t>€1.03M</t>
        </is>
      </c>
      <c r="H137" s="35" t="inlineStr">
        <is>
          <t>€1.54M</t>
        </is>
      </c>
      <c r="I137" s="35" t="inlineStr">
        <is>
          <t>€2.11M</t>
        </is>
      </c>
      <c r="J137" s="35" t="inlineStr">
        <is>
          <t>€2.79M</t>
        </is>
      </c>
      <c r="K137" s="35" t="inlineStr">
        <is>
          <t>€3.56M</t>
        </is>
      </c>
      <c r="L137" s="36" t="inlineStr">
        <is>
          <t>€3.56M</t>
        </is>
      </c>
    </row>
    <row r="139">
      <c r="A139" s="20" t="inlineStr">
        <is>
          <t>BDR FUNNEL</t>
        </is>
      </c>
    </row>
    <row r="140">
      <c r="A140" s="18" t="inlineStr">
        <is>
          <t>105 deals ÷ 10% = 1050 meetings over 9 months</t>
        </is>
      </c>
    </row>
    <row r="141">
      <c r="A141" s="18">
        <f> 117/mo − 15 from SMB BDRs = 102 from dedicated BDRs</f>
        <v/>
      </c>
    </row>
    <row r="142">
      <c r="A142" s="37" t="inlineStr">
        <is>
          <t>102/mo ÷ 15/BDR = 7 dedicated MM BDRs needed</t>
        </is>
      </c>
    </row>
  </sheetData>
  <mergeCells count="20">
    <mergeCell ref="A64:K64"/>
    <mergeCell ref="A11:K11"/>
    <mergeCell ref="A107:K107"/>
    <mergeCell ref="A6:K6"/>
    <mergeCell ref="A7:K7"/>
    <mergeCell ref="A65:K65"/>
    <mergeCell ref="A108:K108"/>
    <mergeCell ref="A12:K12"/>
    <mergeCell ref="A21:K21"/>
    <mergeCell ref="A14:K14"/>
    <mergeCell ref="A5:K5"/>
    <mergeCell ref="A23:K23"/>
    <mergeCell ref="A106:K106"/>
    <mergeCell ref="A8:K8"/>
    <mergeCell ref="A22:K22"/>
    <mergeCell ref="A4:K4"/>
    <mergeCell ref="A63:K63"/>
    <mergeCell ref="A10:K10"/>
    <mergeCell ref="A13:K13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2026-04-03T06:32:30Z</dcterms:created>
  <dcterms:modified xmlns:dcterms="http://purl.org/dc/terms/" xmlns:xsi="http://www.w3.org/2001/XMLSchema-instance" xsi:type="dcterms:W3CDTF">2026-04-11T10:03:32Z</dcterms:modified>
</cp:coreProperties>
</file>